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50" windowHeight="10480" activeTab="1"/>
  </bookViews>
  <sheets>
    <sheet name="分析" sheetId="1" r:id="rId1"/>
    <sheet name="直播数据" sheetId="2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<sst xmlns="http://schemas.openxmlformats.org/spreadsheetml/2006/main" count="1747" uniqueCount="38">
  <si>
    <t>income_date</t>
  </si>
  <si>
    <t>income_type</t>
  </si>
  <si>
    <t>streamer_name</t>
  </si>
  <si>
    <t>income_amount</t>
  </si>
  <si>
    <t>share_amount</t>
  </si>
  <si>
    <t>公司收入(K盾)</t>
  </si>
  <si>
    <t>主播收入(K盾)</t>
  </si>
  <si>
    <t>月份</t>
  </si>
  <si>
    <t>求和项:主播收入(K盾)</t>
  </si>
  <si>
    <t>tt</t>
  </si>
  <si>
    <t>志青</t>
  </si>
  <si>
    <t>阿贤</t>
  </si>
  <si>
    <t>202512</t>
  </si>
  <si>
    <t>202601</t>
  </si>
  <si>
    <t>202602</t>
  </si>
  <si>
    <t>202603</t>
  </si>
  <si>
    <t>202604</t>
  </si>
  <si>
    <t>求和项:公司收入(K盾)</t>
  </si>
  <si>
    <t>阿美</t>
  </si>
  <si>
    <t>order</t>
  </si>
  <si>
    <t>阿园</t>
  </si>
  <si>
    <t>pink</t>
  </si>
  <si>
    <t>peo</t>
  </si>
  <si>
    <t>ven</t>
  </si>
  <si>
    <t>来源：</t>
  </si>
  <si>
    <t>https://ap.wps.com/l/cbTaqtYLdYs85u0w</t>
  </si>
  <si>
    <t>主播</t>
  </si>
  <si>
    <t>日期</t>
  </si>
  <si>
    <t>场次</t>
  </si>
  <si>
    <t>点赞量</t>
  </si>
  <si>
    <t>评论量</t>
  </si>
  <si>
    <t>粉丝平均观看时长</t>
  </si>
  <si>
    <t>涨粉</t>
  </si>
  <si>
    <t>观看次数</t>
  </si>
  <si>
    <t>尖峰在线</t>
  </si>
  <si>
    <t>平均观看时长</t>
  </si>
  <si>
    <t>求和项:观看次数</t>
  </si>
  <si>
    <t>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</si>
</sst>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#,##0_);[Red]\(#,##0\)"/>
    <numFmt numFmtId="178" formatCode="_ * #,##0_ ;_ * \-#,##0_ ;_ * &quot;-&quot;??_ ;_ @_ "/>
    <numFmt numFmtId="179" formatCode="0_);[Red]\(0\)"/>
  </numFmts>
  <fonts count="22">
    <font>
      <sz val="10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C8EC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335593"/>
      </right>
      <top/>
      <bottom/>
      <diagonal/>
    </border>
    <border>
      <left style="thin">
        <color rgb="FF000000"/>
      </left>
      <right style="thin">
        <color rgb="FF335593"/>
      </right>
      <top style="thin">
        <color rgb="FF000000"/>
      </top>
      <bottom style="thin">
        <color rgb="FF000000"/>
      </bottom>
      <diagonal/>
    </border>
    <border>
      <left/>
      <right style="thin">
        <color rgb="FF335593"/>
      </right>
      <top style="thin">
        <color rgb="FF000000"/>
      </top>
      <bottom style="thin">
        <color rgb="FF000000"/>
      </bottom>
      <diagonal/>
    </border>
    <border>
      <left style="thin">
        <color rgb="FF4472C4"/>
      </left>
      <right style="thin">
        <color rgb="FF8EA9DB"/>
      </right>
      <top style="medium">
        <color rgb="FF4472C4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medium">
        <color rgb="FF4472C4"/>
      </top>
      <bottom style="thin">
        <color rgb="FF8EA9DB"/>
      </bottom>
      <diagonal/>
    </border>
    <border>
      <left style="thin">
        <color rgb="FF4472C4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5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58" fontId="2" fillId="3" borderId="3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58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58" fontId="0" fillId="0" borderId="0" xfId="0" applyNumberFormat="1">
      <alignment vertical="center"/>
    </xf>
    <xf numFmtId="0" fontId="2" fillId="4" borderId="3" xfId="0" applyFont="1" applyFill="1" applyBorder="1" applyAlignment="1">
      <alignment horizontal="center" vertical="center"/>
    </xf>
    <xf numFmtId="38" fontId="2" fillId="3" borderId="3" xfId="0" applyNumberFormat="1" applyFont="1" applyFill="1" applyBorder="1" applyAlignment="1">
      <alignment horizontal="center" vertical="center"/>
    </xf>
    <xf numFmtId="38" fontId="2" fillId="0" borderId="3" xfId="0" applyNumberFormat="1" applyFont="1" applyBorder="1" applyAlignment="1">
      <alignment horizontal="center" vertical="center"/>
    </xf>
    <xf numFmtId="58" fontId="2" fillId="3" borderId="4" xfId="0" applyNumberFormat="1" applyFont="1" applyFill="1" applyBorder="1" applyAlignment="1">
      <alignment horizontal="center" vertical="center"/>
    </xf>
    <xf numFmtId="38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center" vertical="center"/>
    </xf>
    <xf numFmtId="58" fontId="2" fillId="3" borderId="1" xfId="0" applyNumberFormat="1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58" fontId="2" fillId="3" borderId="8" xfId="0" applyNumberFormat="1" applyFont="1" applyFill="1" applyBorder="1" applyAlignment="1">
      <alignment horizontal="center" vertical="center"/>
    </xf>
    <xf numFmtId="38" fontId="2" fillId="3" borderId="9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58" fontId="2" fillId="0" borderId="10" xfId="0" applyNumberFormat="1" applyFont="1" applyBorder="1" applyAlignment="1">
      <alignment horizontal="center" vertical="center"/>
    </xf>
    <xf numFmtId="38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58" fontId="2" fillId="3" borderId="10" xfId="0" applyNumberFormat="1" applyFont="1" applyFill="1" applyBorder="1" applyAlignment="1">
      <alignment horizontal="center" vertical="center"/>
    </xf>
    <xf numFmtId="38" fontId="2" fillId="3" borderId="1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77" fontId="2" fillId="3" borderId="11" xfId="0" applyNumberFormat="1" applyFont="1" applyFill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43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numFmt numFmtId="43" formatCode="_ * #,##0.00_ ;_ * \-#,##0.00_ ;_ * &quot;-&quot;??_ ;_ @_ "/>
    </dxf>
    <dxf>
      <numFmt numFmtId="180" formatCode="_ * #,##0.0_ ;_ * \-#,##0.0_ ;_ * &quot;-&quot;??_ ;_ @_ "/>
    </dxf>
    <dxf>
      <numFmt numFmtId="178" formatCode="_ * #,##0_ ;_ * \-#,##0_ ;_ * &quot;-&quot;??_ ;_ @_ "/>
    </dxf>
    <dxf>
      <numFmt numFmtId="43" formatCode="_ * #,##0.00_ ;_ * \-#,##0.00_ ;_ * &quot;-&quot;??_ ;_ @_ "/>
    </dxf>
    <dxf>
      <numFmt numFmtId="181" formatCode="_ * #,##0.0_ ;_ * \-#,##0.0_ ;_ * &quot;-&quot;??_ ;_ @_ "/>
    </dxf>
    <dxf>
      <numFmt numFmtId="178" formatCode="_ * #,##0_ ;_ * \-#,##0_ ;_ * &quot;-&quot;??_ ;_ @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[主播收入分析_20260419.xlsx]直播数据!数据透视表4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直播数据!$N$3:$N$4</c:f>
              <c:strCache>
                <c:ptCount val="1"/>
                <c:pt idx="0">
                  <c:v>阿贤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直播数据!$M$5:$M$142</c:f>
              <c:strCache>
                <c:ptCount val="138"/>
                <c:pt idx="0">
                  <c:v>11月21日</c:v>
                </c:pt>
                <c:pt idx="1">
                  <c:v>11月22日</c:v>
                </c:pt>
                <c:pt idx="2">
                  <c:v>11月23日</c:v>
                </c:pt>
                <c:pt idx="3">
                  <c:v>11月24日</c:v>
                </c:pt>
                <c:pt idx="4">
                  <c:v>11月26日</c:v>
                </c:pt>
                <c:pt idx="5">
                  <c:v>12月1日</c:v>
                </c:pt>
                <c:pt idx="6">
                  <c:v>12月2日</c:v>
                </c:pt>
                <c:pt idx="7">
                  <c:v>12月3日</c:v>
                </c:pt>
                <c:pt idx="8">
                  <c:v>12月4日</c:v>
                </c:pt>
                <c:pt idx="9">
                  <c:v>12月5日</c:v>
                </c:pt>
                <c:pt idx="10">
                  <c:v>12月6日</c:v>
                </c:pt>
                <c:pt idx="11">
                  <c:v>12月7日</c:v>
                </c:pt>
                <c:pt idx="12">
                  <c:v>12月8日</c:v>
                </c:pt>
                <c:pt idx="13">
                  <c:v>12月9日</c:v>
                </c:pt>
                <c:pt idx="14">
                  <c:v>12月10日</c:v>
                </c:pt>
                <c:pt idx="15">
                  <c:v>12月11日</c:v>
                </c:pt>
                <c:pt idx="16">
                  <c:v>12月13日</c:v>
                </c:pt>
                <c:pt idx="17">
                  <c:v>12月14日</c:v>
                </c:pt>
                <c:pt idx="18">
                  <c:v>12月16日</c:v>
                </c:pt>
                <c:pt idx="19">
                  <c:v>12月17日</c:v>
                </c:pt>
                <c:pt idx="20">
                  <c:v>12月18日</c:v>
                </c:pt>
                <c:pt idx="21">
                  <c:v>12月19日</c:v>
                </c:pt>
                <c:pt idx="22">
                  <c:v>12月20日</c:v>
                </c:pt>
                <c:pt idx="23">
                  <c:v>12月21日</c:v>
                </c:pt>
                <c:pt idx="24">
                  <c:v>12月23日</c:v>
                </c:pt>
                <c:pt idx="25">
                  <c:v>12月24日</c:v>
                </c:pt>
                <c:pt idx="26">
                  <c:v>12月25日</c:v>
                </c:pt>
                <c:pt idx="27">
                  <c:v>12月26日</c:v>
                </c:pt>
                <c:pt idx="28">
                  <c:v>12月27日</c:v>
                </c:pt>
                <c:pt idx="29">
                  <c:v>12月28日</c:v>
                </c:pt>
                <c:pt idx="30">
                  <c:v>12月30日</c:v>
                </c:pt>
                <c:pt idx="31">
                  <c:v>12月31日</c:v>
                </c:pt>
                <c:pt idx="32">
                  <c:v>1月1日</c:v>
                </c:pt>
                <c:pt idx="33">
                  <c:v>1月2日</c:v>
                </c:pt>
                <c:pt idx="34">
                  <c:v>1月3日</c:v>
                </c:pt>
                <c:pt idx="35">
                  <c:v>1月4日</c:v>
                </c:pt>
                <c:pt idx="36">
                  <c:v>1月5日</c:v>
                </c:pt>
                <c:pt idx="37">
                  <c:v>1月6日</c:v>
                </c:pt>
                <c:pt idx="38">
                  <c:v>1月7日</c:v>
                </c:pt>
                <c:pt idx="39">
                  <c:v>1月8日</c:v>
                </c:pt>
                <c:pt idx="40">
                  <c:v>1月9日</c:v>
                </c:pt>
                <c:pt idx="41">
                  <c:v>1月10日</c:v>
                </c:pt>
                <c:pt idx="42">
                  <c:v>1月11日</c:v>
                </c:pt>
                <c:pt idx="43">
                  <c:v>1月12日</c:v>
                </c:pt>
                <c:pt idx="44">
                  <c:v>1月13日</c:v>
                </c:pt>
                <c:pt idx="45">
                  <c:v>1月14日</c:v>
                </c:pt>
                <c:pt idx="46">
                  <c:v>1月15日</c:v>
                </c:pt>
                <c:pt idx="47">
                  <c:v>1月16日</c:v>
                </c:pt>
                <c:pt idx="48">
                  <c:v>1月17日</c:v>
                </c:pt>
                <c:pt idx="49">
                  <c:v>1月18日</c:v>
                </c:pt>
                <c:pt idx="50">
                  <c:v>1月19日</c:v>
                </c:pt>
                <c:pt idx="51">
                  <c:v>1月20日</c:v>
                </c:pt>
                <c:pt idx="52">
                  <c:v>1月21日</c:v>
                </c:pt>
                <c:pt idx="53">
                  <c:v>1月22日</c:v>
                </c:pt>
                <c:pt idx="54">
                  <c:v>1月23日</c:v>
                </c:pt>
                <c:pt idx="55">
                  <c:v>1月24日</c:v>
                </c:pt>
                <c:pt idx="56">
                  <c:v>1月25日</c:v>
                </c:pt>
                <c:pt idx="57">
                  <c:v>1月26日</c:v>
                </c:pt>
                <c:pt idx="58">
                  <c:v>1月27日</c:v>
                </c:pt>
                <c:pt idx="59">
                  <c:v>1月28日</c:v>
                </c:pt>
                <c:pt idx="60">
                  <c:v>1月29日</c:v>
                </c:pt>
                <c:pt idx="61">
                  <c:v>1月30日</c:v>
                </c:pt>
                <c:pt idx="62">
                  <c:v>1月31日</c:v>
                </c:pt>
                <c:pt idx="63">
                  <c:v>2月1日</c:v>
                </c:pt>
                <c:pt idx="64">
                  <c:v>2月2日</c:v>
                </c:pt>
                <c:pt idx="65">
                  <c:v>2月3日</c:v>
                </c:pt>
                <c:pt idx="66">
                  <c:v>2月4日</c:v>
                </c:pt>
                <c:pt idx="67">
                  <c:v>2月5日</c:v>
                </c:pt>
                <c:pt idx="68">
                  <c:v>2月6日</c:v>
                </c:pt>
                <c:pt idx="69">
                  <c:v>2月7日</c:v>
                </c:pt>
                <c:pt idx="70">
                  <c:v>2月8日</c:v>
                </c:pt>
                <c:pt idx="71">
                  <c:v>2月9日</c:v>
                </c:pt>
                <c:pt idx="72">
                  <c:v>2月10日</c:v>
                </c:pt>
                <c:pt idx="73">
                  <c:v>2月11日</c:v>
                </c:pt>
                <c:pt idx="74">
                  <c:v>2月12日</c:v>
                </c:pt>
                <c:pt idx="75">
                  <c:v>2月13日</c:v>
                </c:pt>
                <c:pt idx="76">
                  <c:v>2月15日</c:v>
                </c:pt>
                <c:pt idx="77">
                  <c:v>2月16日</c:v>
                </c:pt>
                <c:pt idx="78">
                  <c:v>2月17日</c:v>
                </c:pt>
                <c:pt idx="79">
                  <c:v>2月19日</c:v>
                </c:pt>
                <c:pt idx="80">
                  <c:v>2月20日</c:v>
                </c:pt>
                <c:pt idx="81">
                  <c:v>2月21日</c:v>
                </c:pt>
                <c:pt idx="82">
                  <c:v>2月22日</c:v>
                </c:pt>
                <c:pt idx="83">
                  <c:v>2月23日</c:v>
                </c:pt>
                <c:pt idx="84">
                  <c:v>2月24日</c:v>
                </c:pt>
                <c:pt idx="85">
                  <c:v>2月25日</c:v>
                </c:pt>
                <c:pt idx="86">
                  <c:v>2月26日</c:v>
                </c:pt>
                <c:pt idx="87">
                  <c:v>2月27日</c:v>
                </c:pt>
                <c:pt idx="88">
                  <c:v>2月28日</c:v>
                </c:pt>
                <c:pt idx="89">
                  <c:v>3月1日</c:v>
                </c:pt>
                <c:pt idx="90">
                  <c:v>3月2日</c:v>
                </c:pt>
                <c:pt idx="91">
                  <c:v>3月3日</c:v>
                </c:pt>
                <c:pt idx="92">
                  <c:v>3月4日</c:v>
                </c:pt>
                <c:pt idx="93">
                  <c:v>3月5日</c:v>
                </c:pt>
                <c:pt idx="94">
                  <c:v>3月6日</c:v>
                </c:pt>
                <c:pt idx="95">
                  <c:v>3月7日</c:v>
                </c:pt>
                <c:pt idx="96">
                  <c:v>3月8日</c:v>
                </c:pt>
                <c:pt idx="97">
                  <c:v>3月9日</c:v>
                </c:pt>
                <c:pt idx="98">
                  <c:v>3月10日</c:v>
                </c:pt>
                <c:pt idx="99">
                  <c:v>3月11日</c:v>
                </c:pt>
                <c:pt idx="100">
                  <c:v>3月12日</c:v>
                </c:pt>
                <c:pt idx="101">
                  <c:v>3月13日</c:v>
                </c:pt>
                <c:pt idx="102">
                  <c:v>3月14日</c:v>
                </c:pt>
                <c:pt idx="103">
                  <c:v>3月15日</c:v>
                </c:pt>
                <c:pt idx="104">
                  <c:v>3月16日</c:v>
                </c:pt>
                <c:pt idx="105">
                  <c:v>3月17日</c:v>
                </c:pt>
                <c:pt idx="106">
                  <c:v>3月18日</c:v>
                </c:pt>
                <c:pt idx="107">
                  <c:v>3月19日</c:v>
                </c:pt>
                <c:pt idx="108">
                  <c:v>3月20日</c:v>
                </c:pt>
                <c:pt idx="109">
                  <c:v>3月21日</c:v>
                </c:pt>
                <c:pt idx="110">
                  <c:v>3月22日</c:v>
                </c:pt>
                <c:pt idx="111">
                  <c:v>3月23日</c:v>
                </c:pt>
                <c:pt idx="112">
                  <c:v>3月24日</c:v>
                </c:pt>
                <c:pt idx="113">
                  <c:v>3月25日</c:v>
                </c:pt>
                <c:pt idx="114">
                  <c:v>3月26日</c:v>
                </c:pt>
                <c:pt idx="115">
                  <c:v>3月27日</c:v>
                </c:pt>
                <c:pt idx="116">
                  <c:v>3月28日</c:v>
                </c:pt>
                <c:pt idx="117">
                  <c:v>3月29日</c:v>
                </c:pt>
                <c:pt idx="118">
                  <c:v>3月30日</c:v>
                </c:pt>
                <c:pt idx="119">
                  <c:v>3月31日</c:v>
                </c:pt>
                <c:pt idx="120">
                  <c:v>4月1日</c:v>
                </c:pt>
                <c:pt idx="121">
                  <c:v>4月2日</c:v>
                </c:pt>
                <c:pt idx="122">
                  <c:v>4月3日</c:v>
                </c:pt>
                <c:pt idx="123">
                  <c:v>4月4日</c:v>
                </c:pt>
                <c:pt idx="124">
                  <c:v>4月5日</c:v>
                </c:pt>
                <c:pt idx="125">
                  <c:v>4月6日</c:v>
                </c:pt>
                <c:pt idx="126">
                  <c:v>4月7日</c:v>
                </c:pt>
                <c:pt idx="127">
                  <c:v>4月8日</c:v>
                </c:pt>
                <c:pt idx="128">
                  <c:v>4月9日</c:v>
                </c:pt>
                <c:pt idx="129">
                  <c:v>4月10日</c:v>
                </c:pt>
                <c:pt idx="130">
                  <c:v>4月11日</c:v>
                </c:pt>
                <c:pt idx="131">
                  <c:v>4月12日</c:v>
                </c:pt>
                <c:pt idx="132">
                  <c:v>4月13日</c:v>
                </c:pt>
                <c:pt idx="133">
                  <c:v>4月14日</c:v>
                </c:pt>
                <c:pt idx="134">
                  <c:v>4月15日</c:v>
                </c:pt>
                <c:pt idx="135">
                  <c:v>4月16日</c:v>
                </c:pt>
                <c:pt idx="136">
                  <c:v>4月17日</c:v>
                </c:pt>
                <c:pt idx="137">
                  <c:v>4月18日</c:v>
                </c:pt>
              </c:strCache>
            </c:strRef>
          </c:cat>
          <c:val>
            <c:numRef>
              <c:f>直播数据!$N$5:$N$142</c:f>
              <c:numCache>
                <c:formatCode>General</c:formatCode>
                <c:ptCount val="138"/>
                <c:pt idx="5">
                  <c:v>4208</c:v>
                </c:pt>
                <c:pt idx="6">
                  <c:v>6679</c:v>
                </c:pt>
                <c:pt idx="7">
                  <c:v>14673</c:v>
                </c:pt>
                <c:pt idx="8">
                  <c:v>9259</c:v>
                </c:pt>
                <c:pt idx="9">
                  <c:v>10521</c:v>
                </c:pt>
                <c:pt idx="10">
                  <c:v>18703</c:v>
                </c:pt>
                <c:pt idx="12">
                  <c:v>24551</c:v>
                </c:pt>
                <c:pt idx="13">
                  <c:v>45054</c:v>
                </c:pt>
                <c:pt idx="14">
                  <c:v>73404</c:v>
                </c:pt>
                <c:pt idx="15">
                  <c:v>30630</c:v>
                </c:pt>
                <c:pt idx="16">
                  <c:v>26957</c:v>
                </c:pt>
                <c:pt idx="17">
                  <c:v>58391</c:v>
                </c:pt>
                <c:pt idx="18">
                  <c:v>38158</c:v>
                </c:pt>
                <c:pt idx="19">
                  <c:v>43637</c:v>
                </c:pt>
                <c:pt idx="20">
                  <c:v>45273</c:v>
                </c:pt>
                <c:pt idx="21">
                  <c:v>45786</c:v>
                </c:pt>
                <c:pt idx="22">
                  <c:v>29163</c:v>
                </c:pt>
                <c:pt idx="24">
                  <c:v>37127</c:v>
                </c:pt>
                <c:pt idx="25">
                  <c:v>24165</c:v>
                </c:pt>
                <c:pt idx="26">
                  <c:v>66075</c:v>
                </c:pt>
                <c:pt idx="27">
                  <c:v>71714</c:v>
                </c:pt>
                <c:pt idx="28">
                  <c:v>63866</c:v>
                </c:pt>
                <c:pt idx="29">
                  <c:v>51214</c:v>
                </c:pt>
                <c:pt idx="30">
                  <c:v>74953</c:v>
                </c:pt>
                <c:pt idx="31">
                  <c:v>88651</c:v>
                </c:pt>
                <c:pt idx="32">
                  <c:v>64976</c:v>
                </c:pt>
                <c:pt idx="33">
                  <c:v>92796</c:v>
                </c:pt>
                <c:pt idx="34">
                  <c:v>114392</c:v>
                </c:pt>
                <c:pt idx="35">
                  <c:v>147873</c:v>
                </c:pt>
                <c:pt idx="37">
                  <c:v>178796</c:v>
                </c:pt>
                <c:pt idx="38">
                  <c:v>195332</c:v>
                </c:pt>
                <c:pt idx="39">
                  <c:v>167548</c:v>
                </c:pt>
                <c:pt idx="40">
                  <c:v>80695</c:v>
                </c:pt>
                <c:pt idx="41">
                  <c:v>156405</c:v>
                </c:pt>
                <c:pt idx="42">
                  <c:v>257609</c:v>
                </c:pt>
                <c:pt idx="44">
                  <c:v>108480</c:v>
                </c:pt>
                <c:pt idx="45">
                  <c:v>183238</c:v>
                </c:pt>
                <c:pt idx="46">
                  <c:v>155748</c:v>
                </c:pt>
                <c:pt idx="47">
                  <c:v>172270</c:v>
                </c:pt>
                <c:pt idx="48">
                  <c:v>187655</c:v>
                </c:pt>
                <c:pt idx="49">
                  <c:v>114768</c:v>
                </c:pt>
                <c:pt idx="51">
                  <c:v>185452</c:v>
                </c:pt>
                <c:pt idx="52">
                  <c:v>189653</c:v>
                </c:pt>
                <c:pt idx="53">
                  <c:v>199152</c:v>
                </c:pt>
                <c:pt idx="54">
                  <c:v>184507</c:v>
                </c:pt>
                <c:pt idx="55">
                  <c:v>208760</c:v>
                </c:pt>
                <c:pt idx="56">
                  <c:v>64297</c:v>
                </c:pt>
                <c:pt idx="58">
                  <c:v>142376</c:v>
                </c:pt>
                <c:pt idx="59">
                  <c:v>156130</c:v>
                </c:pt>
                <c:pt idx="60">
                  <c:v>200496</c:v>
                </c:pt>
                <c:pt idx="61">
                  <c:v>202174</c:v>
                </c:pt>
                <c:pt idx="62">
                  <c:v>147086</c:v>
                </c:pt>
                <c:pt idx="63">
                  <c:v>160228</c:v>
                </c:pt>
                <c:pt idx="65">
                  <c:v>217011</c:v>
                </c:pt>
                <c:pt idx="66">
                  <c:v>232637</c:v>
                </c:pt>
                <c:pt idx="67">
                  <c:v>208647</c:v>
                </c:pt>
                <c:pt idx="68">
                  <c:v>213894</c:v>
                </c:pt>
                <c:pt idx="69">
                  <c:v>205523</c:v>
                </c:pt>
                <c:pt idx="70">
                  <c:v>208402</c:v>
                </c:pt>
                <c:pt idx="72">
                  <c:v>150390</c:v>
                </c:pt>
                <c:pt idx="73">
                  <c:v>205795</c:v>
                </c:pt>
                <c:pt idx="74">
                  <c:v>198986</c:v>
                </c:pt>
                <c:pt idx="75">
                  <c:v>200308</c:v>
                </c:pt>
                <c:pt idx="76">
                  <c:v>89239</c:v>
                </c:pt>
                <c:pt idx="77">
                  <c:v>134912</c:v>
                </c:pt>
                <c:pt idx="79">
                  <c:v>75209</c:v>
                </c:pt>
                <c:pt idx="82">
                  <c:v>136015</c:v>
                </c:pt>
                <c:pt idx="83">
                  <c:v>128663</c:v>
                </c:pt>
                <c:pt idx="84">
                  <c:v>168611</c:v>
                </c:pt>
                <c:pt idx="85">
                  <c:v>150216</c:v>
                </c:pt>
                <c:pt idx="86">
                  <c:v>163421</c:v>
                </c:pt>
                <c:pt idx="87">
                  <c:v>190354</c:v>
                </c:pt>
                <c:pt idx="88">
                  <c:v>147645</c:v>
                </c:pt>
                <c:pt idx="89">
                  <c:v>90238</c:v>
                </c:pt>
                <c:pt idx="91">
                  <c:v>155364</c:v>
                </c:pt>
                <c:pt idx="92">
                  <c:v>121524</c:v>
                </c:pt>
                <c:pt idx="93">
                  <c:v>138813</c:v>
                </c:pt>
                <c:pt idx="94">
                  <c:v>133964</c:v>
                </c:pt>
                <c:pt idx="96">
                  <c:v>147518</c:v>
                </c:pt>
                <c:pt idx="98">
                  <c:v>151579</c:v>
                </c:pt>
                <c:pt idx="99">
                  <c:v>131776</c:v>
                </c:pt>
                <c:pt idx="100">
                  <c:v>140749</c:v>
                </c:pt>
                <c:pt idx="101">
                  <c:v>131384</c:v>
                </c:pt>
                <c:pt idx="102">
                  <c:v>147857</c:v>
                </c:pt>
                <c:pt idx="103">
                  <c:v>157905</c:v>
                </c:pt>
                <c:pt idx="105">
                  <c:v>149270</c:v>
                </c:pt>
                <c:pt idx="106">
                  <c:v>123570</c:v>
                </c:pt>
                <c:pt idx="107">
                  <c:v>137714</c:v>
                </c:pt>
                <c:pt idx="108">
                  <c:v>109165</c:v>
                </c:pt>
                <c:pt idx="109">
                  <c:v>113193</c:v>
                </c:pt>
                <c:pt idx="110">
                  <c:v>119458</c:v>
                </c:pt>
                <c:pt idx="112">
                  <c:v>117342</c:v>
                </c:pt>
                <c:pt idx="113">
                  <c:v>127045</c:v>
                </c:pt>
                <c:pt idx="114">
                  <c:v>130029</c:v>
                </c:pt>
                <c:pt idx="115">
                  <c:v>132215</c:v>
                </c:pt>
                <c:pt idx="116">
                  <c:v>55436</c:v>
                </c:pt>
                <c:pt idx="117">
                  <c:v>152131</c:v>
                </c:pt>
                <c:pt idx="118">
                  <c:v>128002</c:v>
                </c:pt>
                <c:pt idx="119">
                  <c:v>106940</c:v>
                </c:pt>
                <c:pt idx="120">
                  <c:v>242389</c:v>
                </c:pt>
                <c:pt idx="122">
                  <c:v>83064</c:v>
                </c:pt>
                <c:pt idx="123">
                  <c:v>78193</c:v>
                </c:pt>
                <c:pt idx="124">
                  <c:v>80715</c:v>
                </c:pt>
                <c:pt idx="125">
                  <c:v>74653</c:v>
                </c:pt>
                <c:pt idx="126">
                  <c:v>72746</c:v>
                </c:pt>
                <c:pt idx="127">
                  <c:v>69598</c:v>
                </c:pt>
                <c:pt idx="128">
                  <c:v>33009</c:v>
                </c:pt>
                <c:pt idx="129">
                  <c:v>72328</c:v>
                </c:pt>
                <c:pt idx="130">
                  <c:v>52201</c:v>
                </c:pt>
                <c:pt idx="131">
                  <c:v>88884</c:v>
                </c:pt>
                <c:pt idx="132">
                  <c:v>79678</c:v>
                </c:pt>
                <c:pt idx="133">
                  <c:v>75366</c:v>
                </c:pt>
                <c:pt idx="134">
                  <c:v>73650</c:v>
                </c:pt>
                <c:pt idx="135">
                  <c:v>29103</c:v>
                </c:pt>
                <c:pt idx="136">
                  <c:v>94892</c:v>
                </c:pt>
                <c:pt idx="137">
                  <c:v>94429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直播数据!$O$3:$O$4</c:f>
              <c:strCache>
                <c:ptCount val="1"/>
                <c:pt idx="0">
                  <c:v>志青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直播数据!$M$5:$M$142</c:f>
              <c:strCache>
                <c:ptCount val="138"/>
                <c:pt idx="0">
                  <c:v>11月21日</c:v>
                </c:pt>
                <c:pt idx="1">
                  <c:v>11月22日</c:v>
                </c:pt>
                <c:pt idx="2">
                  <c:v>11月23日</c:v>
                </c:pt>
                <c:pt idx="3">
                  <c:v>11月24日</c:v>
                </c:pt>
                <c:pt idx="4">
                  <c:v>11月26日</c:v>
                </c:pt>
                <c:pt idx="5">
                  <c:v>12月1日</c:v>
                </c:pt>
                <c:pt idx="6">
                  <c:v>12月2日</c:v>
                </c:pt>
                <c:pt idx="7">
                  <c:v>12月3日</c:v>
                </c:pt>
                <c:pt idx="8">
                  <c:v>12月4日</c:v>
                </c:pt>
                <c:pt idx="9">
                  <c:v>12月5日</c:v>
                </c:pt>
                <c:pt idx="10">
                  <c:v>12月6日</c:v>
                </c:pt>
                <c:pt idx="11">
                  <c:v>12月7日</c:v>
                </c:pt>
                <c:pt idx="12">
                  <c:v>12月8日</c:v>
                </c:pt>
                <c:pt idx="13">
                  <c:v>12月9日</c:v>
                </c:pt>
                <c:pt idx="14">
                  <c:v>12月10日</c:v>
                </c:pt>
                <c:pt idx="15">
                  <c:v>12月11日</c:v>
                </c:pt>
                <c:pt idx="16">
                  <c:v>12月13日</c:v>
                </c:pt>
                <c:pt idx="17">
                  <c:v>12月14日</c:v>
                </c:pt>
                <c:pt idx="18">
                  <c:v>12月16日</c:v>
                </c:pt>
                <c:pt idx="19">
                  <c:v>12月17日</c:v>
                </c:pt>
                <c:pt idx="20">
                  <c:v>12月18日</c:v>
                </c:pt>
                <c:pt idx="21">
                  <c:v>12月19日</c:v>
                </c:pt>
                <c:pt idx="22">
                  <c:v>12月20日</c:v>
                </c:pt>
                <c:pt idx="23">
                  <c:v>12月21日</c:v>
                </c:pt>
                <c:pt idx="24">
                  <c:v>12月23日</c:v>
                </c:pt>
                <c:pt idx="25">
                  <c:v>12月24日</c:v>
                </c:pt>
                <c:pt idx="26">
                  <c:v>12月25日</c:v>
                </c:pt>
                <c:pt idx="27">
                  <c:v>12月26日</c:v>
                </c:pt>
                <c:pt idx="28">
                  <c:v>12月27日</c:v>
                </c:pt>
                <c:pt idx="29">
                  <c:v>12月28日</c:v>
                </c:pt>
                <c:pt idx="30">
                  <c:v>12月30日</c:v>
                </c:pt>
                <c:pt idx="31">
                  <c:v>12月31日</c:v>
                </c:pt>
                <c:pt idx="32">
                  <c:v>1月1日</c:v>
                </c:pt>
                <c:pt idx="33">
                  <c:v>1月2日</c:v>
                </c:pt>
                <c:pt idx="34">
                  <c:v>1月3日</c:v>
                </c:pt>
                <c:pt idx="35">
                  <c:v>1月4日</c:v>
                </c:pt>
                <c:pt idx="36">
                  <c:v>1月5日</c:v>
                </c:pt>
                <c:pt idx="37">
                  <c:v>1月6日</c:v>
                </c:pt>
                <c:pt idx="38">
                  <c:v>1月7日</c:v>
                </c:pt>
                <c:pt idx="39">
                  <c:v>1月8日</c:v>
                </c:pt>
                <c:pt idx="40">
                  <c:v>1月9日</c:v>
                </c:pt>
                <c:pt idx="41">
                  <c:v>1月10日</c:v>
                </c:pt>
                <c:pt idx="42">
                  <c:v>1月11日</c:v>
                </c:pt>
                <c:pt idx="43">
                  <c:v>1月12日</c:v>
                </c:pt>
                <c:pt idx="44">
                  <c:v>1月13日</c:v>
                </c:pt>
                <c:pt idx="45">
                  <c:v>1月14日</c:v>
                </c:pt>
                <c:pt idx="46">
                  <c:v>1月15日</c:v>
                </c:pt>
                <c:pt idx="47">
                  <c:v>1月16日</c:v>
                </c:pt>
                <c:pt idx="48">
                  <c:v>1月17日</c:v>
                </c:pt>
                <c:pt idx="49">
                  <c:v>1月18日</c:v>
                </c:pt>
                <c:pt idx="50">
                  <c:v>1月19日</c:v>
                </c:pt>
                <c:pt idx="51">
                  <c:v>1月20日</c:v>
                </c:pt>
                <c:pt idx="52">
                  <c:v>1月21日</c:v>
                </c:pt>
                <c:pt idx="53">
                  <c:v>1月22日</c:v>
                </c:pt>
                <c:pt idx="54">
                  <c:v>1月23日</c:v>
                </c:pt>
                <c:pt idx="55">
                  <c:v>1月24日</c:v>
                </c:pt>
                <c:pt idx="56">
                  <c:v>1月25日</c:v>
                </c:pt>
                <c:pt idx="57">
                  <c:v>1月26日</c:v>
                </c:pt>
                <c:pt idx="58">
                  <c:v>1月27日</c:v>
                </c:pt>
                <c:pt idx="59">
                  <c:v>1月28日</c:v>
                </c:pt>
                <c:pt idx="60">
                  <c:v>1月29日</c:v>
                </c:pt>
                <c:pt idx="61">
                  <c:v>1月30日</c:v>
                </c:pt>
                <c:pt idx="62">
                  <c:v>1月31日</c:v>
                </c:pt>
                <c:pt idx="63">
                  <c:v>2月1日</c:v>
                </c:pt>
                <c:pt idx="64">
                  <c:v>2月2日</c:v>
                </c:pt>
                <c:pt idx="65">
                  <c:v>2月3日</c:v>
                </c:pt>
                <c:pt idx="66">
                  <c:v>2月4日</c:v>
                </c:pt>
                <c:pt idx="67">
                  <c:v>2月5日</c:v>
                </c:pt>
                <c:pt idx="68">
                  <c:v>2月6日</c:v>
                </c:pt>
                <c:pt idx="69">
                  <c:v>2月7日</c:v>
                </c:pt>
                <c:pt idx="70">
                  <c:v>2月8日</c:v>
                </c:pt>
                <c:pt idx="71">
                  <c:v>2月9日</c:v>
                </c:pt>
                <c:pt idx="72">
                  <c:v>2月10日</c:v>
                </c:pt>
                <c:pt idx="73">
                  <c:v>2月11日</c:v>
                </c:pt>
                <c:pt idx="74">
                  <c:v>2月12日</c:v>
                </c:pt>
                <c:pt idx="75">
                  <c:v>2月13日</c:v>
                </c:pt>
                <c:pt idx="76">
                  <c:v>2月15日</c:v>
                </c:pt>
                <c:pt idx="77">
                  <c:v>2月16日</c:v>
                </c:pt>
                <c:pt idx="78">
                  <c:v>2月17日</c:v>
                </c:pt>
                <c:pt idx="79">
                  <c:v>2月19日</c:v>
                </c:pt>
                <c:pt idx="80">
                  <c:v>2月20日</c:v>
                </c:pt>
                <c:pt idx="81">
                  <c:v>2月21日</c:v>
                </c:pt>
                <c:pt idx="82">
                  <c:v>2月22日</c:v>
                </c:pt>
                <c:pt idx="83">
                  <c:v>2月23日</c:v>
                </c:pt>
                <c:pt idx="84">
                  <c:v>2月24日</c:v>
                </c:pt>
                <c:pt idx="85">
                  <c:v>2月25日</c:v>
                </c:pt>
                <c:pt idx="86">
                  <c:v>2月26日</c:v>
                </c:pt>
                <c:pt idx="87">
                  <c:v>2月27日</c:v>
                </c:pt>
                <c:pt idx="88">
                  <c:v>2月28日</c:v>
                </c:pt>
                <c:pt idx="89">
                  <c:v>3月1日</c:v>
                </c:pt>
                <c:pt idx="90">
                  <c:v>3月2日</c:v>
                </c:pt>
                <c:pt idx="91">
                  <c:v>3月3日</c:v>
                </c:pt>
                <c:pt idx="92">
                  <c:v>3月4日</c:v>
                </c:pt>
                <c:pt idx="93">
                  <c:v>3月5日</c:v>
                </c:pt>
                <c:pt idx="94">
                  <c:v>3月6日</c:v>
                </c:pt>
                <c:pt idx="95">
                  <c:v>3月7日</c:v>
                </c:pt>
                <c:pt idx="96">
                  <c:v>3月8日</c:v>
                </c:pt>
                <c:pt idx="97">
                  <c:v>3月9日</c:v>
                </c:pt>
                <c:pt idx="98">
                  <c:v>3月10日</c:v>
                </c:pt>
                <c:pt idx="99">
                  <c:v>3月11日</c:v>
                </c:pt>
                <c:pt idx="100">
                  <c:v>3月12日</c:v>
                </c:pt>
                <c:pt idx="101">
                  <c:v>3月13日</c:v>
                </c:pt>
                <c:pt idx="102">
                  <c:v>3月14日</c:v>
                </c:pt>
                <c:pt idx="103">
                  <c:v>3月15日</c:v>
                </c:pt>
                <c:pt idx="104">
                  <c:v>3月16日</c:v>
                </c:pt>
                <c:pt idx="105">
                  <c:v>3月17日</c:v>
                </c:pt>
                <c:pt idx="106">
                  <c:v>3月18日</c:v>
                </c:pt>
                <c:pt idx="107">
                  <c:v>3月19日</c:v>
                </c:pt>
                <c:pt idx="108">
                  <c:v>3月20日</c:v>
                </c:pt>
                <c:pt idx="109">
                  <c:v>3月21日</c:v>
                </c:pt>
                <c:pt idx="110">
                  <c:v>3月22日</c:v>
                </c:pt>
                <c:pt idx="111">
                  <c:v>3月23日</c:v>
                </c:pt>
                <c:pt idx="112">
                  <c:v>3月24日</c:v>
                </c:pt>
                <c:pt idx="113">
                  <c:v>3月25日</c:v>
                </c:pt>
                <c:pt idx="114">
                  <c:v>3月26日</c:v>
                </c:pt>
                <c:pt idx="115">
                  <c:v>3月27日</c:v>
                </c:pt>
                <c:pt idx="116">
                  <c:v>3月28日</c:v>
                </c:pt>
                <c:pt idx="117">
                  <c:v>3月29日</c:v>
                </c:pt>
                <c:pt idx="118">
                  <c:v>3月30日</c:v>
                </c:pt>
                <c:pt idx="119">
                  <c:v>3月31日</c:v>
                </c:pt>
                <c:pt idx="120">
                  <c:v>4月1日</c:v>
                </c:pt>
                <c:pt idx="121">
                  <c:v>4月2日</c:v>
                </c:pt>
                <c:pt idx="122">
                  <c:v>4月3日</c:v>
                </c:pt>
                <c:pt idx="123">
                  <c:v>4月4日</c:v>
                </c:pt>
                <c:pt idx="124">
                  <c:v>4月5日</c:v>
                </c:pt>
                <c:pt idx="125">
                  <c:v>4月6日</c:v>
                </c:pt>
                <c:pt idx="126">
                  <c:v>4月7日</c:v>
                </c:pt>
                <c:pt idx="127">
                  <c:v>4月8日</c:v>
                </c:pt>
                <c:pt idx="128">
                  <c:v>4月9日</c:v>
                </c:pt>
                <c:pt idx="129">
                  <c:v>4月10日</c:v>
                </c:pt>
                <c:pt idx="130">
                  <c:v>4月11日</c:v>
                </c:pt>
                <c:pt idx="131">
                  <c:v>4月12日</c:v>
                </c:pt>
                <c:pt idx="132">
                  <c:v>4月13日</c:v>
                </c:pt>
                <c:pt idx="133">
                  <c:v>4月14日</c:v>
                </c:pt>
                <c:pt idx="134">
                  <c:v>4月15日</c:v>
                </c:pt>
                <c:pt idx="135">
                  <c:v>4月16日</c:v>
                </c:pt>
                <c:pt idx="136">
                  <c:v>4月17日</c:v>
                </c:pt>
                <c:pt idx="137">
                  <c:v>4月18日</c:v>
                </c:pt>
              </c:strCache>
            </c:strRef>
          </c:cat>
          <c:val>
            <c:numRef>
              <c:f>直播数据!$O$5:$O$142</c:f>
              <c:numCache>
                <c:formatCode>General</c:formatCode>
                <c:ptCount val="138"/>
                <c:pt idx="0">
                  <c:v>8834</c:v>
                </c:pt>
                <c:pt idx="1">
                  <c:v>7653</c:v>
                </c:pt>
                <c:pt idx="2">
                  <c:v>15500</c:v>
                </c:pt>
                <c:pt idx="3">
                  <c:v>9124</c:v>
                </c:pt>
                <c:pt idx="4">
                  <c:v>10424</c:v>
                </c:pt>
                <c:pt idx="5">
                  <c:v>30700</c:v>
                </c:pt>
                <c:pt idx="6">
                  <c:v>44642</c:v>
                </c:pt>
                <c:pt idx="7">
                  <c:v>47547</c:v>
                </c:pt>
                <c:pt idx="8">
                  <c:v>35400</c:v>
                </c:pt>
                <c:pt idx="9">
                  <c:v>39978</c:v>
                </c:pt>
                <c:pt idx="11">
                  <c:v>25267</c:v>
                </c:pt>
                <c:pt idx="12">
                  <c:v>71144</c:v>
                </c:pt>
                <c:pt idx="13">
                  <c:v>68005</c:v>
                </c:pt>
                <c:pt idx="14">
                  <c:v>38861</c:v>
                </c:pt>
                <c:pt idx="15">
                  <c:v>41715</c:v>
                </c:pt>
                <c:pt idx="16">
                  <c:v>58048</c:v>
                </c:pt>
                <c:pt idx="17">
                  <c:v>46717</c:v>
                </c:pt>
                <c:pt idx="18">
                  <c:v>43423</c:v>
                </c:pt>
                <c:pt idx="19">
                  <c:v>36705</c:v>
                </c:pt>
                <c:pt idx="20">
                  <c:v>39272</c:v>
                </c:pt>
                <c:pt idx="21">
                  <c:v>39952</c:v>
                </c:pt>
                <c:pt idx="22">
                  <c:v>11603</c:v>
                </c:pt>
                <c:pt idx="23">
                  <c:v>29163</c:v>
                </c:pt>
                <c:pt idx="24">
                  <c:v>42160</c:v>
                </c:pt>
                <c:pt idx="25">
                  <c:v>36647</c:v>
                </c:pt>
                <c:pt idx="26">
                  <c:v>43791</c:v>
                </c:pt>
                <c:pt idx="27">
                  <c:v>35371</c:v>
                </c:pt>
                <c:pt idx="28">
                  <c:v>59315</c:v>
                </c:pt>
                <c:pt idx="29">
                  <c:v>45443</c:v>
                </c:pt>
                <c:pt idx="30">
                  <c:v>53102</c:v>
                </c:pt>
                <c:pt idx="32">
                  <c:v>72010</c:v>
                </c:pt>
                <c:pt idx="33">
                  <c:v>42428</c:v>
                </c:pt>
                <c:pt idx="34">
                  <c:v>48180</c:v>
                </c:pt>
                <c:pt idx="35">
                  <c:v>60354</c:v>
                </c:pt>
                <c:pt idx="37">
                  <c:v>64833</c:v>
                </c:pt>
                <c:pt idx="38">
                  <c:v>67876</c:v>
                </c:pt>
                <c:pt idx="39">
                  <c:v>56204</c:v>
                </c:pt>
                <c:pt idx="40">
                  <c:v>62787</c:v>
                </c:pt>
                <c:pt idx="41">
                  <c:v>58975</c:v>
                </c:pt>
                <c:pt idx="44">
                  <c:v>74602</c:v>
                </c:pt>
                <c:pt idx="45">
                  <c:v>72826</c:v>
                </c:pt>
                <c:pt idx="46">
                  <c:v>63480</c:v>
                </c:pt>
                <c:pt idx="47">
                  <c:v>65928</c:v>
                </c:pt>
                <c:pt idx="48">
                  <c:v>60974</c:v>
                </c:pt>
                <c:pt idx="51">
                  <c:v>66355</c:v>
                </c:pt>
                <c:pt idx="52">
                  <c:v>67469</c:v>
                </c:pt>
                <c:pt idx="53">
                  <c:v>65375</c:v>
                </c:pt>
                <c:pt idx="54">
                  <c:v>66339</c:v>
                </c:pt>
                <c:pt idx="55">
                  <c:v>70717</c:v>
                </c:pt>
                <c:pt idx="58">
                  <c:v>74060</c:v>
                </c:pt>
                <c:pt idx="59">
                  <c:v>69144</c:v>
                </c:pt>
                <c:pt idx="61">
                  <c:v>66812</c:v>
                </c:pt>
                <c:pt idx="62">
                  <c:v>69534</c:v>
                </c:pt>
                <c:pt idx="63">
                  <c:v>72354</c:v>
                </c:pt>
                <c:pt idx="65">
                  <c:v>65326</c:v>
                </c:pt>
                <c:pt idx="66">
                  <c:v>66494</c:v>
                </c:pt>
                <c:pt idx="67">
                  <c:v>65499</c:v>
                </c:pt>
                <c:pt idx="68">
                  <c:v>60834</c:v>
                </c:pt>
                <c:pt idx="69">
                  <c:v>59171</c:v>
                </c:pt>
                <c:pt idx="70">
                  <c:v>61584</c:v>
                </c:pt>
                <c:pt idx="72">
                  <c:v>84129</c:v>
                </c:pt>
                <c:pt idx="73">
                  <c:v>64281</c:v>
                </c:pt>
                <c:pt idx="74">
                  <c:v>64119</c:v>
                </c:pt>
                <c:pt idx="79">
                  <c:v>49228</c:v>
                </c:pt>
                <c:pt idx="82">
                  <c:v>54707</c:v>
                </c:pt>
                <c:pt idx="83">
                  <c:v>89035</c:v>
                </c:pt>
                <c:pt idx="84">
                  <c:v>53597</c:v>
                </c:pt>
                <c:pt idx="85">
                  <c:v>63917</c:v>
                </c:pt>
                <c:pt idx="86">
                  <c:v>48036</c:v>
                </c:pt>
                <c:pt idx="87">
                  <c:v>49113</c:v>
                </c:pt>
                <c:pt idx="88">
                  <c:v>42829</c:v>
                </c:pt>
                <c:pt idx="89">
                  <c:v>58525</c:v>
                </c:pt>
                <c:pt idx="94">
                  <c:v>48493</c:v>
                </c:pt>
                <c:pt idx="95">
                  <c:v>39457</c:v>
                </c:pt>
                <c:pt idx="96">
                  <c:v>48668</c:v>
                </c:pt>
                <c:pt idx="98">
                  <c:v>39961</c:v>
                </c:pt>
                <c:pt idx="99">
                  <c:v>41588</c:v>
                </c:pt>
                <c:pt idx="100">
                  <c:v>56795</c:v>
                </c:pt>
                <c:pt idx="101">
                  <c:v>45180</c:v>
                </c:pt>
                <c:pt idx="102">
                  <c:v>47292</c:v>
                </c:pt>
                <c:pt idx="103">
                  <c:v>42768</c:v>
                </c:pt>
                <c:pt idx="106">
                  <c:v>48257</c:v>
                </c:pt>
                <c:pt idx="107">
                  <c:v>43053</c:v>
                </c:pt>
                <c:pt idx="109">
                  <c:v>38123</c:v>
                </c:pt>
                <c:pt idx="110">
                  <c:v>36995</c:v>
                </c:pt>
                <c:pt idx="112">
                  <c:v>48768</c:v>
                </c:pt>
                <c:pt idx="113">
                  <c:v>52433</c:v>
                </c:pt>
                <c:pt idx="115">
                  <c:v>42184</c:v>
                </c:pt>
                <c:pt idx="116">
                  <c:v>43593</c:v>
                </c:pt>
                <c:pt idx="117">
                  <c:v>35816</c:v>
                </c:pt>
                <c:pt idx="119">
                  <c:v>42192</c:v>
                </c:pt>
                <c:pt idx="120">
                  <c:v>159434</c:v>
                </c:pt>
                <c:pt idx="121">
                  <c:v>34194</c:v>
                </c:pt>
                <c:pt idx="123">
                  <c:v>27534</c:v>
                </c:pt>
                <c:pt idx="124">
                  <c:v>31316</c:v>
                </c:pt>
                <c:pt idx="126">
                  <c:v>37047</c:v>
                </c:pt>
                <c:pt idx="127">
                  <c:v>28363</c:v>
                </c:pt>
                <c:pt idx="128">
                  <c:v>32013</c:v>
                </c:pt>
                <c:pt idx="129">
                  <c:v>24140</c:v>
                </c:pt>
                <c:pt idx="134">
                  <c:v>27082</c:v>
                </c:pt>
                <c:pt idx="135">
                  <c:v>22017</c:v>
                </c:pt>
                <c:pt idx="136">
                  <c:v>22657</c:v>
                </c:pt>
                <c:pt idx="137">
                  <c:v>24851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直播数据!$P$3:$P$4</c:f>
              <c:strCache>
                <c:ptCount val="1"/>
                <c:pt idx="0">
                  <c:v>阿美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直播数据!$M$5:$M$142</c:f>
              <c:strCache>
                <c:ptCount val="138"/>
                <c:pt idx="0">
                  <c:v>11月21日</c:v>
                </c:pt>
                <c:pt idx="1">
                  <c:v>11月22日</c:v>
                </c:pt>
                <c:pt idx="2">
                  <c:v>11月23日</c:v>
                </c:pt>
                <c:pt idx="3">
                  <c:v>11月24日</c:v>
                </c:pt>
                <c:pt idx="4">
                  <c:v>11月26日</c:v>
                </c:pt>
                <c:pt idx="5">
                  <c:v>12月1日</c:v>
                </c:pt>
                <c:pt idx="6">
                  <c:v>12月2日</c:v>
                </c:pt>
                <c:pt idx="7">
                  <c:v>12月3日</c:v>
                </c:pt>
                <c:pt idx="8">
                  <c:v>12月4日</c:v>
                </c:pt>
                <c:pt idx="9">
                  <c:v>12月5日</c:v>
                </c:pt>
                <c:pt idx="10">
                  <c:v>12月6日</c:v>
                </c:pt>
                <c:pt idx="11">
                  <c:v>12月7日</c:v>
                </c:pt>
                <c:pt idx="12">
                  <c:v>12月8日</c:v>
                </c:pt>
                <c:pt idx="13">
                  <c:v>12月9日</c:v>
                </c:pt>
                <c:pt idx="14">
                  <c:v>12月10日</c:v>
                </c:pt>
                <c:pt idx="15">
                  <c:v>12月11日</c:v>
                </c:pt>
                <c:pt idx="16">
                  <c:v>12月13日</c:v>
                </c:pt>
                <c:pt idx="17">
                  <c:v>12月14日</c:v>
                </c:pt>
                <c:pt idx="18">
                  <c:v>12月16日</c:v>
                </c:pt>
                <c:pt idx="19">
                  <c:v>12月17日</c:v>
                </c:pt>
                <c:pt idx="20">
                  <c:v>12月18日</c:v>
                </c:pt>
                <c:pt idx="21">
                  <c:v>12月19日</c:v>
                </c:pt>
                <c:pt idx="22">
                  <c:v>12月20日</c:v>
                </c:pt>
                <c:pt idx="23">
                  <c:v>12月21日</c:v>
                </c:pt>
                <c:pt idx="24">
                  <c:v>12月23日</c:v>
                </c:pt>
                <c:pt idx="25">
                  <c:v>12月24日</c:v>
                </c:pt>
                <c:pt idx="26">
                  <c:v>12月25日</c:v>
                </c:pt>
                <c:pt idx="27">
                  <c:v>12月26日</c:v>
                </c:pt>
                <c:pt idx="28">
                  <c:v>12月27日</c:v>
                </c:pt>
                <c:pt idx="29">
                  <c:v>12月28日</c:v>
                </c:pt>
                <c:pt idx="30">
                  <c:v>12月30日</c:v>
                </c:pt>
                <c:pt idx="31">
                  <c:v>12月31日</c:v>
                </c:pt>
                <c:pt idx="32">
                  <c:v>1月1日</c:v>
                </c:pt>
                <c:pt idx="33">
                  <c:v>1月2日</c:v>
                </c:pt>
                <c:pt idx="34">
                  <c:v>1月3日</c:v>
                </c:pt>
                <c:pt idx="35">
                  <c:v>1月4日</c:v>
                </c:pt>
                <c:pt idx="36">
                  <c:v>1月5日</c:v>
                </c:pt>
                <c:pt idx="37">
                  <c:v>1月6日</c:v>
                </c:pt>
                <c:pt idx="38">
                  <c:v>1月7日</c:v>
                </c:pt>
                <c:pt idx="39">
                  <c:v>1月8日</c:v>
                </c:pt>
                <c:pt idx="40">
                  <c:v>1月9日</c:v>
                </c:pt>
                <c:pt idx="41">
                  <c:v>1月10日</c:v>
                </c:pt>
                <c:pt idx="42">
                  <c:v>1月11日</c:v>
                </c:pt>
                <c:pt idx="43">
                  <c:v>1月12日</c:v>
                </c:pt>
                <c:pt idx="44">
                  <c:v>1月13日</c:v>
                </c:pt>
                <c:pt idx="45">
                  <c:v>1月14日</c:v>
                </c:pt>
                <c:pt idx="46">
                  <c:v>1月15日</c:v>
                </c:pt>
                <c:pt idx="47">
                  <c:v>1月16日</c:v>
                </c:pt>
                <c:pt idx="48">
                  <c:v>1月17日</c:v>
                </c:pt>
                <c:pt idx="49">
                  <c:v>1月18日</c:v>
                </c:pt>
                <c:pt idx="50">
                  <c:v>1月19日</c:v>
                </c:pt>
                <c:pt idx="51">
                  <c:v>1月20日</c:v>
                </c:pt>
                <c:pt idx="52">
                  <c:v>1月21日</c:v>
                </c:pt>
                <c:pt idx="53">
                  <c:v>1月22日</c:v>
                </c:pt>
                <c:pt idx="54">
                  <c:v>1月23日</c:v>
                </c:pt>
                <c:pt idx="55">
                  <c:v>1月24日</c:v>
                </c:pt>
                <c:pt idx="56">
                  <c:v>1月25日</c:v>
                </c:pt>
                <c:pt idx="57">
                  <c:v>1月26日</c:v>
                </c:pt>
                <c:pt idx="58">
                  <c:v>1月27日</c:v>
                </c:pt>
                <c:pt idx="59">
                  <c:v>1月28日</c:v>
                </c:pt>
                <c:pt idx="60">
                  <c:v>1月29日</c:v>
                </c:pt>
                <c:pt idx="61">
                  <c:v>1月30日</c:v>
                </c:pt>
                <c:pt idx="62">
                  <c:v>1月31日</c:v>
                </c:pt>
                <c:pt idx="63">
                  <c:v>2月1日</c:v>
                </c:pt>
                <c:pt idx="64">
                  <c:v>2月2日</c:v>
                </c:pt>
                <c:pt idx="65">
                  <c:v>2月3日</c:v>
                </c:pt>
                <c:pt idx="66">
                  <c:v>2月4日</c:v>
                </c:pt>
                <c:pt idx="67">
                  <c:v>2月5日</c:v>
                </c:pt>
                <c:pt idx="68">
                  <c:v>2月6日</c:v>
                </c:pt>
                <c:pt idx="69">
                  <c:v>2月7日</c:v>
                </c:pt>
                <c:pt idx="70">
                  <c:v>2月8日</c:v>
                </c:pt>
                <c:pt idx="71">
                  <c:v>2月9日</c:v>
                </c:pt>
                <c:pt idx="72">
                  <c:v>2月10日</c:v>
                </c:pt>
                <c:pt idx="73">
                  <c:v>2月11日</c:v>
                </c:pt>
                <c:pt idx="74">
                  <c:v>2月12日</c:v>
                </c:pt>
                <c:pt idx="75">
                  <c:v>2月13日</c:v>
                </c:pt>
                <c:pt idx="76">
                  <c:v>2月15日</c:v>
                </c:pt>
                <c:pt idx="77">
                  <c:v>2月16日</c:v>
                </c:pt>
                <c:pt idx="78">
                  <c:v>2月17日</c:v>
                </c:pt>
                <c:pt idx="79">
                  <c:v>2月19日</c:v>
                </c:pt>
                <c:pt idx="80">
                  <c:v>2月20日</c:v>
                </c:pt>
                <c:pt idx="81">
                  <c:v>2月21日</c:v>
                </c:pt>
                <c:pt idx="82">
                  <c:v>2月22日</c:v>
                </c:pt>
                <c:pt idx="83">
                  <c:v>2月23日</c:v>
                </c:pt>
                <c:pt idx="84">
                  <c:v>2月24日</c:v>
                </c:pt>
                <c:pt idx="85">
                  <c:v>2月25日</c:v>
                </c:pt>
                <c:pt idx="86">
                  <c:v>2月26日</c:v>
                </c:pt>
                <c:pt idx="87">
                  <c:v>2月27日</c:v>
                </c:pt>
                <c:pt idx="88">
                  <c:v>2月28日</c:v>
                </c:pt>
                <c:pt idx="89">
                  <c:v>3月1日</c:v>
                </c:pt>
                <c:pt idx="90">
                  <c:v>3月2日</c:v>
                </c:pt>
                <c:pt idx="91">
                  <c:v>3月3日</c:v>
                </c:pt>
                <c:pt idx="92">
                  <c:v>3月4日</c:v>
                </c:pt>
                <c:pt idx="93">
                  <c:v>3月5日</c:v>
                </c:pt>
                <c:pt idx="94">
                  <c:v>3月6日</c:v>
                </c:pt>
                <c:pt idx="95">
                  <c:v>3月7日</c:v>
                </c:pt>
                <c:pt idx="96">
                  <c:v>3月8日</c:v>
                </c:pt>
                <c:pt idx="97">
                  <c:v>3月9日</c:v>
                </c:pt>
                <c:pt idx="98">
                  <c:v>3月10日</c:v>
                </c:pt>
                <c:pt idx="99">
                  <c:v>3月11日</c:v>
                </c:pt>
                <c:pt idx="100">
                  <c:v>3月12日</c:v>
                </c:pt>
                <c:pt idx="101">
                  <c:v>3月13日</c:v>
                </c:pt>
                <c:pt idx="102">
                  <c:v>3月14日</c:v>
                </c:pt>
                <c:pt idx="103">
                  <c:v>3月15日</c:v>
                </c:pt>
                <c:pt idx="104">
                  <c:v>3月16日</c:v>
                </c:pt>
                <c:pt idx="105">
                  <c:v>3月17日</c:v>
                </c:pt>
                <c:pt idx="106">
                  <c:v>3月18日</c:v>
                </c:pt>
                <c:pt idx="107">
                  <c:v>3月19日</c:v>
                </c:pt>
                <c:pt idx="108">
                  <c:v>3月20日</c:v>
                </c:pt>
                <c:pt idx="109">
                  <c:v>3月21日</c:v>
                </c:pt>
                <c:pt idx="110">
                  <c:v>3月22日</c:v>
                </c:pt>
                <c:pt idx="111">
                  <c:v>3月23日</c:v>
                </c:pt>
                <c:pt idx="112">
                  <c:v>3月24日</c:v>
                </c:pt>
                <c:pt idx="113">
                  <c:v>3月25日</c:v>
                </c:pt>
                <c:pt idx="114">
                  <c:v>3月26日</c:v>
                </c:pt>
                <c:pt idx="115">
                  <c:v>3月27日</c:v>
                </c:pt>
                <c:pt idx="116">
                  <c:v>3月28日</c:v>
                </c:pt>
                <c:pt idx="117">
                  <c:v>3月29日</c:v>
                </c:pt>
                <c:pt idx="118">
                  <c:v>3月30日</c:v>
                </c:pt>
                <c:pt idx="119">
                  <c:v>3月31日</c:v>
                </c:pt>
                <c:pt idx="120">
                  <c:v>4月1日</c:v>
                </c:pt>
                <c:pt idx="121">
                  <c:v>4月2日</c:v>
                </c:pt>
                <c:pt idx="122">
                  <c:v>4月3日</c:v>
                </c:pt>
                <c:pt idx="123">
                  <c:v>4月4日</c:v>
                </c:pt>
                <c:pt idx="124">
                  <c:v>4月5日</c:v>
                </c:pt>
                <c:pt idx="125">
                  <c:v>4月6日</c:v>
                </c:pt>
                <c:pt idx="126">
                  <c:v>4月7日</c:v>
                </c:pt>
                <c:pt idx="127">
                  <c:v>4月8日</c:v>
                </c:pt>
                <c:pt idx="128">
                  <c:v>4月9日</c:v>
                </c:pt>
                <c:pt idx="129">
                  <c:v>4月10日</c:v>
                </c:pt>
                <c:pt idx="130">
                  <c:v>4月11日</c:v>
                </c:pt>
                <c:pt idx="131">
                  <c:v>4月12日</c:v>
                </c:pt>
                <c:pt idx="132">
                  <c:v>4月13日</c:v>
                </c:pt>
                <c:pt idx="133">
                  <c:v>4月14日</c:v>
                </c:pt>
                <c:pt idx="134">
                  <c:v>4月15日</c:v>
                </c:pt>
                <c:pt idx="135">
                  <c:v>4月16日</c:v>
                </c:pt>
                <c:pt idx="136">
                  <c:v>4月17日</c:v>
                </c:pt>
                <c:pt idx="137">
                  <c:v>4月18日</c:v>
                </c:pt>
              </c:strCache>
            </c:strRef>
          </c:cat>
          <c:val>
            <c:numRef>
              <c:f>直播数据!$P$5:$P$142</c:f>
              <c:numCache>
                <c:formatCode>General</c:formatCode>
                <c:ptCount val="138"/>
                <c:pt idx="36">
                  <c:v>14299</c:v>
                </c:pt>
                <c:pt idx="37">
                  <c:v>14176</c:v>
                </c:pt>
                <c:pt idx="39">
                  <c:v>20936</c:v>
                </c:pt>
                <c:pt idx="40">
                  <c:v>26480</c:v>
                </c:pt>
                <c:pt idx="43">
                  <c:v>17301</c:v>
                </c:pt>
                <c:pt idx="44">
                  <c:v>15951</c:v>
                </c:pt>
                <c:pt idx="45">
                  <c:v>14040</c:v>
                </c:pt>
                <c:pt idx="46">
                  <c:v>18635</c:v>
                </c:pt>
                <c:pt idx="48">
                  <c:v>23581</c:v>
                </c:pt>
                <c:pt idx="49">
                  <c:v>23344</c:v>
                </c:pt>
                <c:pt idx="50">
                  <c:v>48730</c:v>
                </c:pt>
                <c:pt idx="51">
                  <c:v>24068</c:v>
                </c:pt>
                <c:pt idx="52">
                  <c:v>18805</c:v>
                </c:pt>
                <c:pt idx="53">
                  <c:v>23622</c:v>
                </c:pt>
                <c:pt idx="55">
                  <c:v>27646</c:v>
                </c:pt>
                <c:pt idx="56">
                  <c:v>15968</c:v>
                </c:pt>
                <c:pt idx="57">
                  <c:v>28243</c:v>
                </c:pt>
                <c:pt idx="58">
                  <c:v>25343</c:v>
                </c:pt>
                <c:pt idx="59">
                  <c:v>22311</c:v>
                </c:pt>
                <c:pt idx="60">
                  <c:v>21427</c:v>
                </c:pt>
                <c:pt idx="62">
                  <c:v>15385</c:v>
                </c:pt>
                <c:pt idx="63">
                  <c:v>28624</c:v>
                </c:pt>
                <c:pt idx="64">
                  <c:v>30921</c:v>
                </c:pt>
                <c:pt idx="65">
                  <c:v>50053</c:v>
                </c:pt>
                <c:pt idx="66">
                  <c:v>52016</c:v>
                </c:pt>
                <c:pt idx="67">
                  <c:v>23087</c:v>
                </c:pt>
                <c:pt idx="69">
                  <c:v>62962</c:v>
                </c:pt>
                <c:pt idx="70">
                  <c:v>65965</c:v>
                </c:pt>
                <c:pt idx="71">
                  <c:v>62996</c:v>
                </c:pt>
                <c:pt idx="72">
                  <c:v>62433</c:v>
                </c:pt>
                <c:pt idx="73">
                  <c:v>50018</c:v>
                </c:pt>
                <c:pt idx="74">
                  <c:v>59694</c:v>
                </c:pt>
                <c:pt idx="76">
                  <c:v>36874</c:v>
                </c:pt>
                <c:pt idx="77">
                  <c:v>41170</c:v>
                </c:pt>
                <c:pt idx="78">
                  <c:v>26930</c:v>
                </c:pt>
                <c:pt idx="80">
                  <c:v>25466</c:v>
                </c:pt>
                <c:pt idx="81">
                  <c:v>30035</c:v>
                </c:pt>
                <c:pt idx="82">
                  <c:v>30186</c:v>
                </c:pt>
                <c:pt idx="83">
                  <c:v>57317</c:v>
                </c:pt>
                <c:pt idx="84">
                  <c:v>52037</c:v>
                </c:pt>
                <c:pt idx="85">
                  <c:v>48551</c:v>
                </c:pt>
                <c:pt idx="86">
                  <c:v>37686</c:v>
                </c:pt>
                <c:pt idx="88">
                  <c:v>53420</c:v>
                </c:pt>
                <c:pt idx="89">
                  <c:v>33447</c:v>
                </c:pt>
                <c:pt idx="90">
                  <c:v>21455</c:v>
                </c:pt>
                <c:pt idx="91">
                  <c:v>45734</c:v>
                </c:pt>
                <c:pt idx="92">
                  <c:v>43341</c:v>
                </c:pt>
                <c:pt idx="95">
                  <c:v>51422</c:v>
                </c:pt>
                <c:pt idx="96">
                  <c:v>55152</c:v>
                </c:pt>
                <c:pt idx="97">
                  <c:v>53065</c:v>
                </c:pt>
                <c:pt idx="98">
                  <c:v>47013</c:v>
                </c:pt>
                <c:pt idx="99">
                  <c:v>47660</c:v>
                </c:pt>
                <c:pt idx="100">
                  <c:v>54978</c:v>
                </c:pt>
                <c:pt idx="102">
                  <c:v>56732</c:v>
                </c:pt>
                <c:pt idx="103">
                  <c:v>68883</c:v>
                </c:pt>
                <c:pt idx="104">
                  <c:v>55518</c:v>
                </c:pt>
                <c:pt idx="105">
                  <c:v>49522</c:v>
                </c:pt>
                <c:pt idx="106">
                  <c:v>46328</c:v>
                </c:pt>
                <c:pt idx="107">
                  <c:v>49590</c:v>
                </c:pt>
                <c:pt idx="109">
                  <c:v>33446</c:v>
                </c:pt>
                <c:pt idx="110">
                  <c:v>37361</c:v>
                </c:pt>
                <c:pt idx="111">
                  <c:v>30209</c:v>
                </c:pt>
                <c:pt idx="112">
                  <c:v>32138</c:v>
                </c:pt>
                <c:pt idx="113">
                  <c:v>35019</c:v>
                </c:pt>
                <c:pt idx="114">
                  <c:v>31651</c:v>
                </c:pt>
                <c:pt idx="116">
                  <c:v>34940</c:v>
                </c:pt>
                <c:pt idx="117">
                  <c:v>38763</c:v>
                </c:pt>
                <c:pt idx="118">
                  <c:v>35250</c:v>
                </c:pt>
                <c:pt idx="119">
                  <c:v>32271</c:v>
                </c:pt>
                <c:pt idx="120">
                  <c:v>91585</c:v>
                </c:pt>
                <c:pt idx="121">
                  <c:v>35015</c:v>
                </c:pt>
                <c:pt idx="123">
                  <c:v>50489</c:v>
                </c:pt>
                <c:pt idx="124">
                  <c:v>52405</c:v>
                </c:pt>
                <c:pt idx="125">
                  <c:v>48029</c:v>
                </c:pt>
                <c:pt idx="126">
                  <c:v>31823</c:v>
                </c:pt>
                <c:pt idx="127">
                  <c:v>31155</c:v>
                </c:pt>
                <c:pt idx="128">
                  <c:v>71488</c:v>
                </c:pt>
                <c:pt idx="130">
                  <c:v>37413</c:v>
                </c:pt>
                <c:pt idx="131">
                  <c:v>44366</c:v>
                </c:pt>
                <c:pt idx="132">
                  <c:v>39532</c:v>
                </c:pt>
                <c:pt idx="133">
                  <c:v>43903</c:v>
                </c:pt>
                <c:pt idx="134">
                  <c:v>45052</c:v>
                </c:pt>
                <c:pt idx="135">
                  <c:v>50934</c:v>
                </c:pt>
                <c:pt idx="137">
                  <c:v>40884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直播数据!$Q$3:$Q$4</c:f>
              <c:strCache>
                <c:ptCount val="1"/>
                <c:pt idx="0">
                  <c:v>阿园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直播数据!$M$5:$M$142</c:f>
              <c:strCache>
                <c:ptCount val="138"/>
                <c:pt idx="0">
                  <c:v>11月21日</c:v>
                </c:pt>
                <c:pt idx="1">
                  <c:v>11月22日</c:v>
                </c:pt>
                <c:pt idx="2">
                  <c:v>11月23日</c:v>
                </c:pt>
                <c:pt idx="3">
                  <c:v>11月24日</c:v>
                </c:pt>
                <c:pt idx="4">
                  <c:v>11月26日</c:v>
                </c:pt>
                <c:pt idx="5">
                  <c:v>12月1日</c:v>
                </c:pt>
                <c:pt idx="6">
                  <c:v>12月2日</c:v>
                </c:pt>
                <c:pt idx="7">
                  <c:v>12月3日</c:v>
                </c:pt>
                <c:pt idx="8">
                  <c:v>12月4日</c:v>
                </c:pt>
                <c:pt idx="9">
                  <c:v>12月5日</c:v>
                </c:pt>
                <c:pt idx="10">
                  <c:v>12月6日</c:v>
                </c:pt>
                <c:pt idx="11">
                  <c:v>12月7日</c:v>
                </c:pt>
                <c:pt idx="12">
                  <c:v>12月8日</c:v>
                </c:pt>
                <c:pt idx="13">
                  <c:v>12月9日</c:v>
                </c:pt>
                <c:pt idx="14">
                  <c:v>12月10日</c:v>
                </c:pt>
                <c:pt idx="15">
                  <c:v>12月11日</c:v>
                </c:pt>
                <c:pt idx="16">
                  <c:v>12月13日</c:v>
                </c:pt>
                <c:pt idx="17">
                  <c:v>12月14日</c:v>
                </c:pt>
                <c:pt idx="18">
                  <c:v>12月16日</c:v>
                </c:pt>
                <c:pt idx="19">
                  <c:v>12月17日</c:v>
                </c:pt>
                <c:pt idx="20">
                  <c:v>12月18日</c:v>
                </c:pt>
                <c:pt idx="21">
                  <c:v>12月19日</c:v>
                </c:pt>
                <c:pt idx="22">
                  <c:v>12月20日</c:v>
                </c:pt>
                <c:pt idx="23">
                  <c:v>12月21日</c:v>
                </c:pt>
                <c:pt idx="24">
                  <c:v>12月23日</c:v>
                </c:pt>
                <c:pt idx="25">
                  <c:v>12月24日</c:v>
                </c:pt>
                <c:pt idx="26">
                  <c:v>12月25日</c:v>
                </c:pt>
                <c:pt idx="27">
                  <c:v>12月26日</c:v>
                </c:pt>
                <c:pt idx="28">
                  <c:v>12月27日</c:v>
                </c:pt>
                <c:pt idx="29">
                  <c:v>12月28日</c:v>
                </c:pt>
                <c:pt idx="30">
                  <c:v>12月30日</c:v>
                </c:pt>
                <c:pt idx="31">
                  <c:v>12月31日</c:v>
                </c:pt>
                <c:pt idx="32">
                  <c:v>1月1日</c:v>
                </c:pt>
                <c:pt idx="33">
                  <c:v>1月2日</c:v>
                </c:pt>
                <c:pt idx="34">
                  <c:v>1月3日</c:v>
                </c:pt>
                <c:pt idx="35">
                  <c:v>1月4日</c:v>
                </c:pt>
                <c:pt idx="36">
                  <c:v>1月5日</c:v>
                </c:pt>
                <c:pt idx="37">
                  <c:v>1月6日</c:v>
                </c:pt>
                <c:pt idx="38">
                  <c:v>1月7日</c:v>
                </c:pt>
                <c:pt idx="39">
                  <c:v>1月8日</c:v>
                </c:pt>
                <c:pt idx="40">
                  <c:v>1月9日</c:v>
                </c:pt>
                <c:pt idx="41">
                  <c:v>1月10日</c:v>
                </c:pt>
                <c:pt idx="42">
                  <c:v>1月11日</c:v>
                </c:pt>
                <c:pt idx="43">
                  <c:v>1月12日</c:v>
                </c:pt>
                <c:pt idx="44">
                  <c:v>1月13日</c:v>
                </c:pt>
                <c:pt idx="45">
                  <c:v>1月14日</c:v>
                </c:pt>
                <c:pt idx="46">
                  <c:v>1月15日</c:v>
                </c:pt>
                <c:pt idx="47">
                  <c:v>1月16日</c:v>
                </c:pt>
                <c:pt idx="48">
                  <c:v>1月17日</c:v>
                </c:pt>
                <c:pt idx="49">
                  <c:v>1月18日</c:v>
                </c:pt>
                <c:pt idx="50">
                  <c:v>1月19日</c:v>
                </c:pt>
                <c:pt idx="51">
                  <c:v>1月20日</c:v>
                </c:pt>
                <c:pt idx="52">
                  <c:v>1月21日</c:v>
                </c:pt>
                <c:pt idx="53">
                  <c:v>1月22日</c:v>
                </c:pt>
                <c:pt idx="54">
                  <c:v>1月23日</c:v>
                </c:pt>
                <c:pt idx="55">
                  <c:v>1月24日</c:v>
                </c:pt>
                <c:pt idx="56">
                  <c:v>1月25日</c:v>
                </c:pt>
                <c:pt idx="57">
                  <c:v>1月26日</c:v>
                </c:pt>
                <c:pt idx="58">
                  <c:v>1月27日</c:v>
                </c:pt>
                <c:pt idx="59">
                  <c:v>1月28日</c:v>
                </c:pt>
                <c:pt idx="60">
                  <c:v>1月29日</c:v>
                </c:pt>
                <c:pt idx="61">
                  <c:v>1月30日</c:v>
                </c:pt>
                <c:pt idx="62">
                  <c:v>1月31日</c:v>
                </c:pt>
                <c:pt idx="63">
                  <c:v>2月1日</c:v>
                </c:pt>
                <c:pt idx="64">
                  <c:v>2月2日</c:v>
                </c:pt>
                <c:pt idx="65">
                  <c:v>2月3日</c:v>
                </c:pt>
                <c:pt idx="66">
                  <c:v>2月4日</c:v>
                </c:pt>
                <c:pt idx="67">
                  <c:v>2月5日</c:v>
                </c:pt>
                <c:pt idx="68">
                  <c:v>2月6日</c:v>
                </c:pt>
                <c:pt idx="69">
                  <c:v>2月7日</c:v>
                </c:pt>
                <c:pt idx="70">
                  <c:v>2月8日</c:v>
                </c:pt>
                <c:pt idx="71">
                  <c:v>2月9日</c:v>
                </c:pt>
                <c:pt idx="72">
                  <c:v>2月10日</c:v>
                </c:pt>
                <c:pt idx="73">
                  <c:v>2月11日</c:v>
                </c:pt>
                <c:pt idx="74">
                  <c:v>2月12日</c:v>
                </c:pt>
                <c:pt idx="75">
                  <c:v>2月13日</c:v>
                </c:pt>
                <c:pt idx="76">
                  <c:v>2月15日</c:v>
                </c:pt>
                <c:pt idx="77">
                  <c:v>2月16日</c:v>
                </c:pt>
                <c:pt idx="78">
                  <c:v>2月17日</c:v>
                </c:pt>
                <c:pt idx="79">
                  <c:v>2月19日</c:v>
                </c:pt>
                <c:pt idx="80">
                  <c:v>2月20日</c:v>
                </c:pt>
                <c:pt idx="81">
                  <c:v>2月21日</c:v>
                </c:pt>
                <c:pt idx="82">
                  <c:v>2月22日</c:v>
                </c:pt>
                <c:pt idx="83">
                  <c:v>2月23日</c:v>
                </c:pt>
                <c:pt idx="84">
                  <c:v>2月24日</c:v>
                </c:pt>
                <c:pt idx="85">
                  <c:v>2月25日</c:v>
                </c:pt>
                <c:pt idx="86">
                  <c:v>2月26日</c:v>
                </c:pt>
                <c:pt idx="87">
                  <c:v>2月27日</c:v>
                </c:pt>
                <c:pt idx="88">
                  <c:v>2月28日</c:v>
                </c:pt>
                <c:pt idx="89">
                  <c:v>3月1日</c:v>
                </c:pt>
                <c:pt idx="90">
                  <c:v>3月2日</c:v>
                </c:pt>
                <c:pt idx="91">
                  <c:v>3月3日</c:v>
                </c:pt>
                <c:pt idx="92">
                  <c:v>3月4日</c:v>
                </c:pt>
                <c:pt idx="93">
                  <c:v>3月5日</c:v>
                </c:pt>
                <c:pt idx="94">
                  <c:v>3月6日</c:v>
                </c:pt>
                <c:pt idx="95">
                  <c:v>3月7日</c:v>
                </c:pt>
                <c:pt idx="96">
                  <c:v>3月8日</c:v>
                </c:pt>
                <c:pt idx="97">
                  <c:v>3月9日</c:v>
                </c:pt>
                <c:pt idx="98">
                  <c:v>3月10日</c:v>
                </c:pt>
                <c:pt idx="99">
                  <c:v>3月11日</c:v>
                </c:pt>
                <c:pt idx="100">
                  <c:v>3月12日</c:v>
                </c:pt>
                <c:pt idx="101">
                  <c:v>3月13日</c:v>
                </c:pt>
                <c:pt idx="102">
                  <c:v>3月14日</c:v>
                </c:pt>
                <c:pt idx="103">
                  <c:v>3月15日</c:v>
                </c:pt>
                <c:pt idx="104">
                  <c:v>3月16日</c:v>
                </c:pt>
                <c:pt idx="105">
                  <c:v>3月17日</c:v>
                </c:pt>
                <c:pt idx="106">
                  <c:v>3月18日</c:v>
                </c:pt>
                <c:pt idx="107">
                  <c:v>3月19日</c:v>
                </c:pt>
                <c:pt idx="108">
                  <c:v>3月20日</c:v>
                </c:pt>
                <c:pt idx="109">
                  <c:v>3月21日</c:v>
                </c:pt>
                <c:pt idx="110">
                  <c:v>3月22日</c:v>
                </c:pt>
                <c:pt idx="111">
                  <c:v>3月23日</c:v>
                </c:pt>
                <c:pt idx="112">
                  <c:v>3月24日</c:v>
                </c:pt>
                <c:pt idx="113">
                  <c:v>3月25日</c:v>
                </c:pt>
                <c:pt idx="114">
                  <c:v>3月26日</c:v>
                </c:pt>
                <c:pt idx="115">
                  <c:v>3月27日</c:v>
                </c:pt>
                <c:pt idx="116">
                  <c:v>3月28日</c:v>
                </c:pt>
                <c:pt idx="117">
                  <c:v>3月29日</c:v>
                </c:pt>
                <c:pt idx="118">
                  <c:v>3月30日</c:v>
                </c:pt>
                <c:pt idx="119">
                  <c:v>3月31日</c:v>
                </c:pt>
                <c:pt idx="120">
                  <c:v>4月1日</c:v>
                </c:pt>
                <c:pt idx="121">
                  <c:v>4月2日</c:v>
                </c:pt>
                <c:pt idx="122">
                  <c:v>4月3日</c:v>
                </c:pt>
                <c:pt idx="123">
                  <c:v>4月4日</c:v>
                </c:pt>
                <c:pt idx="124">
                  <c:v>4月5日</c:v>
                </c:pt>
                <c:pt idx="125">
                  <c:v>4月6日</c:v>
                </c:pt>
                <c:pt idx="126">
                  <c:v>4月7日</c:v>
                </c:pt>
                <c:pt idx="127">
                  <c:v>4月8日</c:v>
                </c:pt>
                <c:pt idx="128">
                  <c:v>4月9日</c:v>
                </c:pt>
                <c:pt idx="129">
                  <c:v>4月10日</c:v>
                </c:pt>
                <c:pt idx="130">
                  <c:v>4月11日</c:v>
                </c:pt>
                <c:pt idx="131">
                  <c:v>4月12日</c:v>
                </c:pt>
                <c:pt idx="132">
                  <c:v>4月13日</c:v>
                </c:pt>
                <c:pt idx="133">
                  <c:v>4月14日</c:v>
                </c:pt>
                <c:pt idx="134">
                  <c:v>4月15日</c:v>
                </c:pt>
                <c:pt idx="135">
                  <c:v>4月16日</c:v>
                </c:pt>
                <c:pt idx="136">
                  <c:v>4月17日</c:v>
                </c:pt>
                <c:pt idx="137">
                  <c:v>4月18日</c:v>
                </c:pt>
              </c:strCache>
            </c:strRef>
          </c:cat>
          <c:val>
            <c:numRef>
              <c:f>直播数据!$Q$5:$Q$142</c:f>
              <c:numCache>
                <c:formatCode>General</c:formatCode>
                <c:ptCount val="138"/>
                <c:pt idx="97">
                  <c:v>43414</c:v>
                </c:pt>
                <c:pt idx="98">
                  <c:v>23954</c:v>
                </c:pt>
                <c:pt idx="99">
                  <c:v>26529</c:v>
                </c:pt>
                <c:pt idx="100">
                  <c:v>23018</c:v>
                </c:pt>
                <c:pt idx="101">
                  <c:v>23136</c:v>
                </c:pt>
                <c:pt idx="102">
                  <c:v>22826</c:v>
                </c:pt>
                <c:pt idx="103">
                  <c:v>21870</c:v>
                </c:pt>
                <c:pt idx="104">
                  <c:v>35635</c:v>
                </c:pt>
                <c:pt idx="105">
                  <c:v>18803</c:v>
                </c:pt>
                <c:pt idx="106">
                  <c:v>12453</c:v>
                </c:pt>
                <c:pt idx="108">
                  <c:v>15147</c:v>
                </c:pt>
                <c:pt idx="109">
                  <c:v>17170</c:v>
                </c:pt>
                <c:pt idx="110">
                  <c:v>14730</c:v>
                </c:pt>
                <c:pt idx="111">
                  <c:v>14343</c:v>
                </c:pt>
                <c:pt idx="112">
                  <c:v>17801</c:v>
                </c:pt>
                <c:pt idx="113">
                  <c:v>20818</c:v>
                </c:pt>
                <c:pt idx="115">
                  <c:v>14599</c:v>
                </c:pt>
                <c:pt idx="116">
                  <c:v>14566</c:v>
                </c:pt>
                <c:pt idx="117">
                  <c:v>14342</c:v>
                </c:pt>
                <c:pt idx="118">
                  <c:v>13940</c:v>
                </c:pt>
                <c:pt idx="119">
                  <c:v>12530</c:v>
                </c:pt>
                <c:pt idx="120">
                  <c:v>49666</c:v>
                </c:pt>
                <c:pt idx="122">
                  <c:v>11789</c:v>
                </c:pt>
                <c:pt idx="123">
                  <c:v>16573</c:v>
                </c:pt>
                <c:pt idx="124">
                  <c:v>17905</c:v>
                </c:pt>
                <c:pt idx="125">
                  <c:v>14455</c:v>
                </c:pt>
                <c:pt idx="126">
                  <c:v>16337</c:v>
                </c:pt>
                <c:pt idx="127">
                  <c:v>14415</c:v>
                </c:pt>
                <c:pt idx="129">
                  <c:v>13349</c:v>
                </c:pt>
                <c:pt idx="130">
                  <c:v>21366</c:v>
                </c:pt>
                <c:pt idx="131">
                  <c:v>18622</c:v>
                </c:pt>
                <c:pt idx="132">
                  <c:v>16027</c:v>
                </c:pt>
                <c:pt idx="133">
                  <c:v>14881</c:v>
                </c:pt>
                <c:pt idx="134">
                  <c:v>13088</c:v>
                </c:pt>
                <c:pt idx="136">
                  <c:v>11285</c:v>
                </c:pt>
                <c:pt idx="137">
                  <c:v>11496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直播数据!$R$3:$R$4</c:f>
              <c:strCache>
                <c:ptCount val="1"/>
                <c:pt idx="0">
                  <c:v>pink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直播数据!$M$5:$M$142</c:f>
              <c:strCache>
                <c:ptCount val="138"/>
                <c:pt idx="0">
                  <c:v>11月21日</c:v>
                </c:pt>
                <c:pt idx="1">
                  <c:v>11月22日</c:v>
                </c:pt>
                <c:pt idx="2">
                  <c:v>11月23日</c:v>
                </c:pt>
                <c:pt idx="3">
                  <c:v>11月24日</c:v>
                </c:pt>
                <c:pt idx="4">
                  <c:v>11月26日</c:v>
                </c:pt>
                <c:pt idx="5">
                  <c:v>12月1日</c:v>
                </c:pt>
                <c:pt idx="6">
                  <c:v>12月2日</c:v>
                </c:pt>
                <c:pt idx="7">
                  <c:v>12月3日</c:v>
                </c:pt>
                <c:pt idx="8">
                  <c:v>12月4日</c:v>
                </c:pt>
                <c:pt idx="9">
                  <c:v>12月5日</c:v>
                </c:pt>
                <c:pt idx="10">
                  <c:v>12月6日</c:v>
                </c:pt>
                <c:pt idx="11">
                  <c:v>12月7日</c:v>
                </c:pt>
                <c:pt idx="12">
                  <c:v>12月8日</c:v>
                </c:pt>
                <c:pt idx="13">
                  <c:v>12月9日</c:v>
                </c:pt>
                <c:pt idx="14">
                  <c:v>12月10日</c:v>
                </c:pt>
                <c:pt idx="15">
                  <c:v>12月11日</c:v>
                </c:pt>
                <c:pt idx="16">
                  <c:v>12月13日</c:v>
                </c:pt>
                <c:pt idx="17">
                  <c:v>12月14日</c:v>
                </c:pt>
                <c:pt idx="18">
                  <c:v>12月16日</c:v>
                </c:pt>
                <c:pt idx="19">
                  <c:v>12月17日</c:v>
                </c:pt>
                <c:pt idx="20">
                  <c:v>12月18日</c:v>
                </c:pt>
                <c:pt idx="21">
                  <c:v>12月19日</c:v>
                </c:pt>
                <c:pt idx="22">
                  <c:v>12月20日</c:v>
                </c:pt>
                <c:pt idx="23">
                  <c:v>12月21日</c:v>
                </c:pt>
                <c:pt idx="24">
                  <c:v>12月23日</c:v>
                </c:pt>
                <c:pt idx="25">
                  <c:v>12月24日</c:v>
                </c:pt>
                <c:pt idx="26">
                  <c:v>12月25日</c:v>
                </c:pt>
                <c:pt idx="27">
                  <c:v>12月26日</c:v>
                </c:pt>
                <c:pt idx="28">
                  <c:v>12月27日</c:v>
                </c:pt>
                <c:pt idx="29">
                  <c:v>12月28日</c:v>
                </c:pt>
                <c:pt idx="30">
                  <c:v>12月30日</c:v>
                </c:pt>
                <c:pt idx="31">
                  <c:v>12月31日</c:v>
                </c:pt>
                <c:pt idx="32">
                  <c:v>1月1日</c:v>
                </c:pt>
                <c:pt idx="33">
                  <c:v>1月2日</c:v>
                </c:pt>
                <c:pt idx="34">
                  <c:v>1月3日</c:v>
                </c:pt>
                <c:pt idx="35">
                  <c:v>1月4日</c:v>
                </c:pt>
                <c:pt idx="36">
                  <c:v>1月5日</c:v>
                </c:pt>
                <c:pt idx="37">
                  <c:v>1月6日</c:v>
                </c:pt>
                <c:pt idx="38">
                  <c:v>1月7日</c:v>
                </c:pt>
                <c:pt idx="39">
                  <c:v>1月8日</c:v>
                </c:pt>
                <c:pt idx="40">
                  <c:v>1月9日</c:v>
                </c:pt>
                <c:pt idx="41">
                  <c:v>1月10日</c:v>
                </c:pt>
                <c:pt idx="42">
                  <c:v>1月11日</c:v>
                </c:pt>
                <c:pt idx="43">
                  <c:v>1月12日</c:v>
                </c:pt>
                <c:pt idx="44">
                  <c:v>1月13日</c:v>
                </c:pt>
                <c:pt idx="45">
                  <c:v>1月14日</c:v>
                </c:pt>
                <c:pt idx="46">
                  <c:v>1月15日</c:v>
                </c:pt>
                <c:pt idx="47">
                  <c:v>1月16日</c:v>
                </c:pt>
                <c:pt idx="48">
                  <c:v>1月17日</c:v>
                </c:pt>
                <c:pt idx="49">
                  <c:v>1月18日</c:v>
                </c:pt>
                <c:pt idx="50">
                  <c:v>1月19日</c:v>
                </c:pt>
                <c:pt idx="51">
                  <c:v>1月20日</c:v>
                </c:pt>
                <c:pt idx="52">
                  <c:v>1月21日</c:v>
                </c:pt>
                <c:pt idx="53">
                  <c:v>1月22日</c:v>
                </c:pt>
                <c:pt idx="54">
                  <c:v>1月23日</c:v>
                </c:pt>
                <c:pt idx="55">
                  <c:v>1月24日</c:v>
                </c:pt>
                <c:pt idx="56">
                  <c:v>1月25日</c:v>
                </c:pt>
                <c:pt idx="57">
                  <c:v>1月26日</c:v>
                </c:pt>
                <c:pt idx="58">
                  <c:v>1月27日</c:v>
                </c:pt>
                <c:pt idx="59">
                  <c:v>1月28日</c:v>
                </c:pt>
                <c:pt idx="60">
                  <c:v>1月29日</c:v>
                </c:pt>
                <c:pt idx="61">
                  <c:v>1月30日</c:v>
                </c:pt>
                <c:pt idx="62">
                  <c:v>1月31日</c:v>
                </c:pt>
                <c:pt idx="63">
                  <c:v>2月1日</c:v>
                </c:pt>
                <c:pt idx="64">
                  <c:v>2月2日</c:v>
                </c:pt>
                <c:pt idx="65">
                  <c:v>2月3日</c:v>
                </c:pt>
                <c:pt idx="66">
                  <c:v>2月4日</c:v>
                </c:pt>
                <c:pt idx="67">
                  <c:v>2月5日</c:v>
                </c:pt>
                <c:pt idx="68">
                  <c:v>2月6日</c:v>
                </c:pt>
                <c:pt idx="69">
                  <c:v>2月7日</c:v>
                </c:pt>
                <c:pt idx="70">
                  <c:v>2月8日</c:v>
                </c:pt>
                <c:pt idx="71">
                  <c:v>2月9日</c:v>
                </c:pt>
                <c:pt idx="72">
                  <c:v>2月10日</c:v>
                </c:pt>
                <c:pt idx="73">
                  <c:v>2月11日</c:v>
                </c:pt>
                <c:pt idx="74">
                  <c:v>2月12日</c:v>
                </c:pt>
                <c:pt idx="75">
                  <c:v>2月13日</c:v>
                </c:pt>
                <c:pt idx="76">
                  <c:v>2月15日</c:v>
                </c:pt>
                <c:pt idx="77">
                  <c:v>2月16日</c:v>
                </c:pt>
                <c:pt idx="78">
                  <c:v>2月17日</c:v>
                </c:pt>
                <c:pt idx="79">
                  <c:v>2月19日</c:v>
                </c:pt>
                <c:pt idx="80">
                  <c:v>2月20日</c:v>
                </c:pt>
                <c:pt idx="81">
                  <c:v>2月21日</c:v>
                </c:pt>
                <c:pt idx="82">
                  <c:v>2月22日</c:v>
                </c:pt>
                <c:pt idx="83">
                  <c:v>2月23日</c:v>
                </c:pt>
                <c:pt idx="84">
                  <c:v>2月24日</c:v>
                </c:pt>
                <c:pt idx="85">
                  <c:v>2月25日</c:v>
                </c:pt>
                <c:pt idx="86">
                  <c:v>2月26日</c:v>
                </c:pt>
                <c:pt idx="87">
                  <c:v>2月27日</c:v>
                </c:pt>
                <c:pt idx="88">
                  <c:v>2月28日</c:v>
                </c:pt>
                <c:pt idx="89">
                  <c:v>3月1日</c:v>
                </c:pt>
                <c:pt idx="90">
                  <c:v>3月2日</c:v>
                </c:pt>
                <c:pt idx="91">
                  <c:v>3月3日</c:v>
                </c:pt>
                <c:pt idx="92">
                  <c:v>3月4日</c:v>
                </c:pt>
                <c:pt idx="93">
                  <c:v>3月5日</c:v>
                </c:pt>
                <c:pt idx="94">
                  <c:v>3月6日</c:v>
                </c:pt>
                <c:pt idx="95">
                  <c:v>3月7日</c:v>
                </c:pt>
                <c:pt idx="96">
                  <c:v>3月8日</c:v>
                </c:pt>
                <c:pt idx="97">
                  <c:v>3月9日</c:v>
                </c:pt>
                <c:pt idx="98">
                  <c:v>3月10日</c:v>
                </c:pt>
                <c:pt idx="99">
                  <c:v>3月11日</c:v>
                </c:pt>
                <c:pt idx="100">
                  <c:v>3月12日</c:v>
                </c:pt>
                <c:pt idx="101">
                  <c:v>3月13日</c:v>
                </c:pt>
                <c:pt idx="102">
                  <c:v>3月14日</c:v>
                </c:pt>
                <c:pt idx="103">
                  <c:v>3月15日</c:v>
                </c:pt>
                <c:pt idx="104">
                  <c:v>3月16日</c:v>
                </c:pt>
                <c:pt idx="105">
                  <c:v>3月17日</c:v>
                </c:pt>
                <c:pt idx="106">
                  <c:v>3月18日</c:v>
                </c:pt>
                <c:pt idx="107">
                  <c:v>3月19日</c:v>
                </c:pt>
                <c:pt idx="108">
                  <c:v>3月20日</c:v>
                </c:pt>
                <c:pt idx="109">
                  <c:v>3月21日</c:v>
                </c:pt>
                <c:pt idx="110">
                  <c:v>3月22日</c:v>
                </c:pt>
                <c:pt idx="111">
                  <c:v>3月23日</c:v>
                </c:pt>
                <c:pt idx="112">
                  <c:v>3月24日</c:v>
                </c:pt>
                <c:pt idx="113">
                  <c:v>3月25日</c:v>
                </c:pt>
                <c:pt idx="114">
                  <c:v>3月26日</c:v>
                </c:pt>
                <c:pt idx="115">
                  <c:v>3月27日</c:v>
                </c:pt>
                <c:pt idx="116">
                  <c:v>3月28日</c:v>
                </c:pt>
                <c:pt idx="117">
                  <c:v>3月29日</c:v>
                </c:pt>
                <c:pt idx="118">
                  <c:v>3月30日</c:v>
                </c:pt>
                <c:pt idx="119">
                  <c:v>3月31日</c:v>
                </c:pt>
                <c:pt idx="120">
                  <c:v>4月1日</c:v>
                </c:pt>
                <c:pt idx="121">
                  <c:v>4月2日</c:v>
                </c:pt>
                <c:pt idx="122">
                  <c:v>4月3日</c:v>
                </c:pt>
                <c:pt idx="123">
                  <c:v>4月4日</c:v>
                </c:pt>
                <c:pt idx="124">
                  <c:v>4月5日</c:v>
                </c:pt>
                <c:pt idx="125">
                  <c:v>4月6日</c:v>
                </c:pt>
                <c:pt idx="126">
                  <c:v>4月7日</c:v>
                </c:pt>
                <c:pt idx="127">
                  <c:v>4月8日</c:v>
                </c:pt>
                <c:pt idx="128">
                  <c:v>4月9日</c:v>
                </c:pt>
                <c:pt idx="129">
                  <c:v>4月10日</c:v>
                </c:pt>
                <c:pt idx="130">
                  <c:v>4月11日</c:v>
                </c:pt>
                <c:pt idx="131">
                  <c:v>4月12日</c:v>
                </c:pt>
                <c:pt idx="132">
                  <c:v>4月13日</c:v>
                </c:pt>
                <c:pt idx="133">
                  <c:v>4月14日</c:v>
                </c:pt>
                <c:pt idx="134">
                  <c:v>4月15日</c:v>
                </c:pt>
                <c:pt idx="135">
                  <c:v>4月16日</c:v>
                </c:pt>
                <c:pt idx="136">
                  <c:v>4月17日</c:v>
                </c:pt>
                <c:pt idx="137">
                  <c:v>4月18日</c:v>
                </c:pt>
              </c:strCache>
            </c:strRef>
          </c:cat>
          <c:val>
            <c:numRef>
              <c:f>直播数据!$R$5:$R$142</c:f>
              <c:numCache>
                <c:formatCode>General</c:formatCode>
                <c:ptCount val="138"/>
                <c:pt idx="108">
                  <c:v>3436</c:v>
                </c:pt>
                <c:pt idx="109">
                  <c:v>14911</c:v>
                </c:pt>
                <c:pt idx="110">
                  <c:v>11302</c:v>
                </c:pt>
                <c:pt idx="111">
                  <c:v>12498</c:v>
                </c:pt>
                <c:pt idx="112">
                  <c:v>14683</c:v>
                </c:pt>
                <c:pt idx="113">
                  <c:v>14382</c:v>
                </c:pt>
                <c:pt idx="114">
                  <c:v>13469</c:v>
                </c:pt>
                <c:pt idx="115">
                  <c:v>12799</c:v>
                </c:pt>
                <c:pt idx="117">
                  <c:v>14150</c:v>
                </c:pt>
                <c:pt idx="119">
                  <c:v>11868</c:v>
                </c:pt>
                <c:pt idx="120">
                  <c:v>9930</c:v>
                </c:pt>
                <c:pt idx="121">
                  <c:v>8964</c:v>
                </c:pt>
                <c:pt idx="123">
                  <c:v>8533</c:v>
                </c:pt>
                <c:pt idx="124">
                  <c:v>8090</c:v>
                </c:pt>
                <c:pt idx="126">
                  <c:v>7693</c:v>
                </c:pt>
                <c:pt idx="127">
                  <c:v>7457</c:v>
                </c:pt>
                <c:pt idx="128">
                  <c:v>7258</c:v>
                </c:pt>
                <c:pt idx="129">
                  <c:v>11480</c:v>
                </c:pt>
                <c:pt idx="130">
                  <c:v>10213</c:v>
                </c:pt>
                <c:pt idx="131">
                  <c:v>12191</c:v>
                </c:pt>
                <c:pt idx="133">
                  <c:v>10010</c:v>
                </c:pt>
                <c:pt idx="134">
                  <c:v>12020</c:v>
                </c:pt>
                <c:pt idx="135">
                  <c:v>13939</c:v>
                </c:pt>
                <c:pt idx="136">
                  <c:v>23034</c:v>
                </c:pt>
                <c:pt idx="137">
                  <c:v>11267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直播数据!$S$3:$S$4</c:f>
              <c:strCache>
                <c:ptCount val="1"/>
                <c:pt idx="0">
                  <c:v>van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直播数据!$M$5:$M$142</c:f>
              <c:strCache>
                <c:ptCount val="138"/>
                <c:pt idx="0">
                  <c:v>11月21日</c:v>
                </c:pt>
                <c:pt idx="1">
                  <c:v>11月22日</c:v>
                </c:pt>
                <c:pt idx="2">
                  <c:v>11月23日</c:v>
                </c:pt>
                <c:pt idx="3">
                  <c:v>11月24日</c:v>
                </c:pt>
                <c:pt idx="4">
                  <c:v>11月26日</c:v>
                </c:pt>
                <c:pt idx="5">
                  <c:v>12月1日</c:v>
                </c:pt>
                <c:pt idx="6">
                  <c:v>12月2日</c:v>
                </c:pt>
                <c:pt idx="7">
                  <c:v>12月3日</c:v>
                </c:pt>
                <c:pt idx="8">
                  <c:v>12月4日</c:v>
                </c:pt>
                <c:pt idx="9">
                  <c:v>12月5日</c:v>
                </c:pt>
                <c:pt idx="10">
                  <c:v>12月6日</c:v>
                </c:pt>
                <c:pt idx="11">
                  <c:v>12月7日</c:v>
                </c:pt>
                <c:pt idx="12">
                  <c:v>12月8日</c:v>
                </c:pt>
                <c:pt idx="13">
                  <c:v>12月9日</c:v>
                </c:pt>
                <c:pt idx="14">
                  <c:v>12月10日</c:v>
                </c:pt>
                <c:pt idx="15">
                  <c:v>12月11日</c:v>
                </c:pt>
                <c:pt idx="16">
                  <c:v>12月13日</c:v>
                </c:pt>
                <c:pt idx="17">
                  <c:v>12月14日</c:v>
                </c:pt>
                <c:pt idx="18">
                  <c:v>12月16日</c:v>
                </c:pt>
                <c:pt idx="19">
                  <c:v>12月17日</c:v>
                </c:pt>
                <c:pt idx="20">
                  <c:v>12月18日</c:v>
                </c:pt>
                <c:pt idx="21">
                  <c:v>12月19日</c:v>
                </c:pt>
                <c:pt idx="22">
                  <c:v>12月20日</c:v>
                </c:pt>
                <c:pt idx="23">
                  <c:v>12月21日</c:v>
                </c:pt>
                <c:pt idx="24">
                  <c:v>12月23日</c:v>
                </c:pt>
                <c:pt idx="25">
                  <c:v>12月24日</c:v>
                </c:pt>
                <c:pt idx="26">
                  <c:v>12月25日</c:v>
                </c:pt>
                <c:pt idx="27">
                  <c:v>12月26日</c:v>
                </c:pt>
                <c:pt idx="28">
                  <c:v>12月27日</c:v>
                </c:pt>
                <c:pt idx="29">
                  <c:v>12月28日</c:v>
                </c:pt>
                <c:pt idx="30">
                  <c:v>12月30日</c:v>
                </c:pt>
                <c:pt idx="31">
                  <c:v>12月31日</c:v>
                </c:pt>
                <c:pt idx="32">
                  <c:v>1月1日</c:v>
                </c:pt>
                <c:pt idx="33">
                  <c:v>1月2日</c:v>
                </c:pt>
                <c:pt idx="34">
                  <c:v>1月3日</c:v>
                </c:pt>
                <c:pt idx="35">
                  <c:v>1月4日</c:v>
                </c:pt>
                <c:pt idx="36">
                  <c:v>1月5日</c:v>
                </c:pt>
                <c:pt idx="37">
                  <c:v>1月6日</c:v>
                </c:pt>
                <c:pt idx="38">
                  <c:v>1月7日</c:v>
                </c:pt>
                <c:pt idx="39">
                  <c:v>1月8日</c:v>
                </c:pt>
                <c:pt idx="40">
                  <c:v>1月9日</c:v>
                </c:pt>
                <c:pt idx="41">
                  <c:v>1月10日</c:v>
                </c:pt>
                <c:pt idx="42">
                  <c:v>1月11日</c:v>
                </c:pt>
                <c:pt idx="43">
                  <c:v>1月12日</c:v>
                </c:pt>
                <c:pt idx="44">
                  <c:v>1月13日</c:v>
                </c:pt>
                <c:pt idx="45">
                  <c:v>1月14日</c:v>
                </c:pt>
                <c:pt idx="46">
                  <c:v>1月15日</c:v>
                </c:pt>
                <c:pt idx="47">
                  <c:v>1月16日</c:v>
                </c:pt>
                <c:pt idx="48">
                  <c:v>1月17日</c:v>
                </c:pt>
                <c:pt idx="49">
                  <c:v>1月18日</c:v>
                </c:pt>
                <c:pt idx="50">
                  <c:v>1月19日</c:v>
                </c:pt>
                <c:pt idx="51">
                  <c:v>1月20日</c:v>
                </c:pt>
                <c:pt idx="52">
                  <c:v>1月21日</c:v>
                </c:pt>
                <c:pt idx="53">
                  <c:v>1月22日</c:v>
                </c:pt>
                <c:pt idx="54">
                  <c:v>1月23日</c:v>
                </c:pt>
                <c:pt idx="55">
                  <c:v>1月24日</c:v>
                </c:pt>
                <c:pt idx="56">
                  <c:v>1月25日</c:v>
                </c:pt>
                <c:pt idx="57">
                  <c:v>1月26日</c:v>
                </c:pt>
                <c:pt idx="58">
                  <c:v>1月27日</c:v>
                </c:pt>
                <c:pt idx="59">
                  <c:v>1月28日</c:v>
                </c:pt>
                <c:pt idx="60">
                  <c:v>1月29日</c:v>
                </c:pt>
                <c:pt idx="61">
                  <c:v>1月30日</c:v>
                </c:pt>
                <c:pt idx="62">
                  <c:v>1月31日</c:v>
                </c:pt>
                <c:pt idx="63">
                  <c:v>2月1日</c:v>
                </c:pt>
                <c:pt idx="64">
                  <c:v>2月2日</c:v>
                </c:pt>
                <c:pt idx="65">
                  <c:v>2月3日</c:v>
                </c:pt>
                <c:pt idx="66">
                  <c:v>2月4日</c:v>
                </c:pt>
                <c:pt idx="67">
                  <c:v>2月5日</c:v>
                </c:pt>
                <c:pt idx="68">
                  <c:v>2月6日</c:v>
                </c:pt>
                <c:pt idx="69">
                  <c:v>2月7日</c:v>
                </c:pt>
                <c:pt idx="70">
                  <c:v>2月8日</c:v>
                </c:pt>
                <c:pt idx="71">
                  <c:v>2月9日</c:v>
                </c:pt>
                <c:pt idx="72">
                  <c:v>2月10日</c:v>
                </c:pt>
                <c:pt idx="73">
                  <c:v>2月11日</c:v>
                </c:pt>
                <c:pt idx="74">
                  <c:v>2月12日</c:v>
                </c:pt>
                <c:pt idx="75">
                  <c:v>2月13日</c:v>
                </c:pt>
                <c:pt idx="76">
                  <c:v>2月15日</c:v>
                </c:pt>
                <c:pt idx="77">
                  <c:v>2月16日</c:v>
                </c:pt>
                <c:pt idx="78">
                  <c:v>2月17日</c:v>
                </c:pt>
                <c:pt idx="79">
                  <c:v>2月19日</c:v>
                </c:pt>
                <c:pt idx="80">
                  <c:v>2月20日</c:v>
                </c:pt>
                <c:pt idx="81">
                  <c:v>2月21日</c:v>
                </c:pt>
                <c:pt idx="82">
                  <c:v>2月22日</c:v>
                </c:pt>
                <c:pt idx="83">
                  <c:v>2月23日</c:v>
                </c:pt>
                <c:pt idx="84">
                  <c:v>2月24日</c:v>
                </c:pt>
                <c:pt idx="85">
                  <c:v>2月25日</c:v>
                </c:pt>
                <c:pt idx="86">
                  <c:v>2月26日</c:v>
                </c:pt>
                <c:pt idx="87">
                  <c:v>2月27日</c:v>
                </c:pt>
                <c:pt idx="88">
                  <c:v>2月28日</c:v>
                </c:pt>
                <c:pt idx="89">
                  <c:v>3月1日</c:v>
                </c:pt>
                <c:pt idx="90">
                  <c:v>3月2日</c:v>
                </c:pt>
                <c:pt idx="91">
                  <c:v>3月3日</c:v>
                </c:pt>
                <c:pt idx="92">
                  <c:v>3月4日</c:v>
                </c:pt>
                <c:pt idx="93">
                  <c:v>3月5日</c:v>
                </c:pt>
                <c:pt idx="94">
                  <c:v>3月6日</c:v>
                </c:pt>
                <c:pt idx="95">
                  <c:v>3月7日</c:v>
                </c:pt>
                <c:pt idx="96">
                  <c:v>3月8日</c:v>
                </c:pt>
                <c:pt idx="97">
                  <c:v>3月9日</c:v>
                </c:pt>
                <c:pt idx="98">
                  <c:v>3月10日</c:v>
                </c:pt>
                <c:pt idx="99">
                  <c:v>3月11日</c:v>
                </c:pt>
                <c:pt idx="100">
                  <c:v>3月12日</c:v>
                </c:pt>
                <c:pt idx="101">
                  <c:v>3月13日</c:v>
                </c:pt>
                <c:pt idx="102">
                  <c:v>3月14日</c:v>
                </c:pt>
                <c:pt idx="103">
                  <c:v>3月15日</c:v>
                </c:pt>
                <c:pt idx="104">
                  <c:v>3月16日</c:v>
                </c:pt>
                <c:pt idx="105">
                  <c:v>3月17日</c:v>
                </c:pt>
                <c:pt idx="106">
                  <c:v>3月18日</c:v>
                </c:pt>
                <c:pt idx="107">
                  <c:v>3月19日</c:v>
                </c:pt>
                <c:pt idx="108">
                  <c:v>3月20日</c:v>
                </c:pt>
                <c:pt idx="109">
                  <c:v>3月21日</c:v>
                </c:pt>
                <c:pt idx="110">
                  <c:v>3月22日</c:v>
                </c:pt>
                <c:pt idx="111">
                  <c:v>3月23日</c:v>
                </c:pt>
                <c:pt idx="112">
                  <c:v>3月24日</c:v>
                </c:pt>
                <c:pt idx="113">
                  <c:v>3月25日</c:v>
                </c:pt>
                <c:pt idx="114">
                  <c:v>3月26日</c:v>
                </c:pt>
                <c:pt idx="115">
                  <c:v>3月27日</c:v>
                </c:pt>
                <c:pt idx="116">
                  <c:v>3月28日</c:v>
                </c:pt>
                <c:pt idx="117">
                  <c:v>3月29日</c:v>
                </c:pt>
                <c:pt idx="118">
                  <c:v>3月30日</c:v>
                </c:pt>
                <c:pt idx="119">
                  <c:v>3月31日</c:v>
                </c:pt>
                <c:pt idx="120">
                  <c:v>4月1日</c:v>
                </c:pt>
                <c:pt idx="121">
                  <c:v>4月2日</c:v>
                </c:pt>
                <c:pt idx="122">
                  <c:v>4月3日</c:v>
                </c:pt>
                <c:pt idx="123">
                  <c:v>4月4日</c:v>
                </c:pt>
                <c:pt idx="124">
                  <c:v>4月5日</c:v>
                </c:pt>
                <c:pt idx="125">
                  <c:v>4月6日</c:v>
                </c:pt>
                <c:pt idx="126">
                  <c:v>4月7日</c:v>
                </c:pt>
                <c:pt idx="127">
                  <c:v>4月8日</c:v>
                </c:pt>
                <c:pt idx="128">
                  <c:v>4月9日</c:v>
                </c:pt>
                <c:pt idx="129">
                  <c:v>4月10日</c:v>
                </c:pt>
                <c:pt idx="130">
                  <c:v>4月11日</c:v>
                </c:pt>
                <c:pt idx="131">
                  <c:v>4月12日</c:v>
                </c:pt>
                <c:pt idx="132">
                  <c:v>4月13日</c:v>
                </c:pt>
                <c:pt idx="133">
                  <c:v>4月14日</c:v>
                </c:pt>
                <c:pt idx="134">
                  <c:v>4月15日</c:v>
                </c:pt>
                <c:pt idx="135">
                  <c:v>4月16日</c:v>
                </c:pt>
                <c:pt idx="136">
                  <c:v>4月17日</c:v>
                </c:pt>
                <c:pt idx="137">
                  <c:v>4月18日</c:v>
                </c:pt>
              </c:strCache>
            </c:strRef>
          </c:cat>
          <c:val>
            <c:numRef>
              <c:f>直播数据!$S$5:$S$142</c:f>
              <c:numCache>
                <c:formatCode>General</c:formatCode>
                <c:ptCount val="138"/>
                <c:pt idx="122">
                  <c:v>8641</c:v>
                </c:pt>
                <c:pt idx="123">
                  <c:v>8172</c:v>
                </c:pt>
                <c:pt idx="124">
                  <c:v>7339</c:v>
                </c:pt>
                <c:pt idx="125">
                  <c:v>8128</c:v>
                </c:pt>
                <c:pt idx="126">
                  <c:v>9242</c:v>
                </c:pt>
                <c:pt idx="128">
                  <c:v>12188</c:v>
                </c:pt>
                <c:pt idx="129">
                  <c:v>10311</c:v>
                </c:pt>
                <c:pt idx="130">
                  <c:v>15393</c:v>
                </c:pt>
                <c:pt idx="131">
                  <c:v>13052</c:v>
                </c:pt>
                <c:pt idx="132">
                  <c:v>11962</c:v>
                </c:pt>
                <c:pt idx="133">
                  <c:v>10210</c:v>
                </c:pt>
                <c:pt idx="134">
                  <c:v>4411</c:v>
                </c:pt>
                <c:pt idx="135">
                  <c:v>7598</c:v>
                </c:pt>
                <c:pt idx="136">
                  <c:v>11142</c:v>
                </c:pt>
                <c:pt idx="137">
                  <c:v>8097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直播数据!$T$3:$T$4</c:f>
              <c:strCache>
                <c:ptCount val="1"/>
                <c:pt idx="0">
                  <c:v>peo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直播数据!$M$5:$M$142</c:f>
              <c:strCache>
                <c:ptCount val="138"/>
                <c:pt idx="0">
                  <c:v>11月21日</c:v>
                </c:pt>
                <c:pt idx="1">
                  <c:v>11月22日</c:v>
                </c:pt>
                <c:pt idx="2">
                  <c:v>11月23日</c:v>
                </c:pt>
                <c:pt idx="3">
                  <c:v>11月24日</c:v>
                </c:pt>
                <c:pt idx="4">
                  <c:v>11月26日</c:v>
                </c:pt>
                <c:pt idx="5">
                  <c:v>12月1日</c:v>
                </c:pt>
                <c:pt idx="6">
                  <c:v>12月2日</c:v>
                </c:pt>
                <c:pt idx="7">
                  <c:v>12月3日</c:v>
                </c:pt>
                <c:pt idx="8">
                  <c:v>12月4日</c:v>
                </c:pt>
                <c:pt idx="9">
                  <c:v>12月5日</c:v>
                </c:pt>
                <c:pt idx="10">
                  <c:v>12月6日</c:v>
                </c:pt>
                <c:pt idx="11">
                  <c:v>12月7日</c:v>
                </c:pt>
                <c:pt idx="12">
                  <c:v>12月8日</c:v>
                </c:pt>
                <c:pt idx="13">
                  <c:v>12月9日</c:v>
                </c:pt>
                <c:pt idx="14">
                  <c:v>12月10日</c:v>
                </c:pt>
                <c:pt idx="15">
                  <c:v>12月11日</c:v>
                </c:pt>
                <c:pt idx="16">
                  <c:v>12月13日</c:v>
                </c:pt>
                <c:pt idx="17">
                  <c:v>12月14日</c:v>
                </c:pt>
                <c:pt idx="18">
                  <c:v>12月16日</c:v>
                </c:pt>
                <c:pt idx="19">
                  <c:v>12月17日</c:v>
                </c:pt>
                <c:pt idx="20">
                  <c:v>12月18日</c:v>
                </c:pt>
                <c:pt idx="21">
                  <c:v>12月19日</c:v>
                </c:pt>
                <c:pt idx="22">
                  <c:v>12月20日</c:v>
                </c:pt>
                <c:pt idx="23">
                  <c:v>12月21日</c:v>
                </c:pt>
                <c:pt idx="24">
                  <c:v>12月23日</c:v>
                </c:pt>
                <c:pt idx="25">
                  <c:v>12月24日</c:v>
                </c:pt>
                <c:pt idx="26">
                  <c:v>12月25日</c:v>
                </c:pt>
                <c:pt idx="27">
                  <c:v>12月26日</c:v>
                </c:pt>
                <c:pt idx="28">
                  <c:v>12月27日</c:v>
                </c:pt>
                <c:pt idx="29">
                  <c:v>12月28日</c:v>
                </c:pt>
                <c:pt idx="30">
                  <c:v>12月30日</c:v>
                </c:pt>
                <c:pt idx="31">
                  <c:v>12月31日</c:v>
                </c:pt>
                <c:pt idx="32">
                  <c:v>1月1日</c:v>
                </c:pt>
                <c:pt idx="33">
                  <c:v>1月2日</c:v>
                </c:pt>
                <c:pt idx="34">
                  <c:v>1月3日</c:v>
                </c:pt>
                <c:pt idx="35">
                  <c:v>1月4日</c:v>
                </c:pt>
                <c:pt idx="36">
                  <c:v>1月5日</c:v>
                </c:pt>
                <c:pt idx="37">
                  <c:v>1月6日</c:v>
                </c:pt>
                <c:pt idx="38">
                  <c:v>1月7日</c:v>
                </c:pt>
                <c:pt idx="39">
                  <c:v>1月8日</c:v>
                </c:pt>
                <c:pt idx="40">
                  <c:v>1月9日</c:v>
                </c:pt>
                <c:pt idx="41">
                  <c:v>1月10日</c:v>
                </c:pt>
                <c:pt idx="42">
                  <c:v>1月11日</c:v>
                </c:pt>
                <c:pt idx="43">
                  <c:v>1月12日</c:v>
                </c:pt>
                <c:pt idx="44">
                  <c:v>1月13日</c:v>
                </c:pt>
                <c:pt idx="45">
                  <c:v>1月14日</c:v>
                </c:pt>
                <c:pt idx="46">
                  <c:v>1月15日</c:v>
                </c:pt>
                <c:pt idx="47">
                  <c:v>1月16日</c:v>
                </c:pt>
                <c:pt idx="48">
                  <c:v>1月17日</c:v>
                </c:pt>
                <c:pt idx="49">
                  <c:v>1月18日</c:v>
                </c:pt>
                <c:pt idx="50">
                  <c:v>1月19日</c:v>
                </c:pt>
                <c:pt idx="51">
                  <c:v>1月20日</c:v>
                </c:pt>
                <c:pt idx="52">
                  <c:v>1月21日</c:v>
                </c:pt>
                <c:pt idx="53">
                  <c:v>1月22日</c:v>
                </c:pt>
                <c:pt idx="54">
                  <c:v>1月23日</c:v>
                </c:pt>
                <c:pt idx="55">
                  <c:v>1月24日</c:v>
                </c:pt>
                <c:pt idx="56">
                  <c:v>1月25日</c:v>
                </c:pt>
                <c:pt idx="57">
                  <c:v>1月26日</c:v>
                </c:pt>
                <c:pt idx="58">
                  <c:v>1月27日</c:v>
                </c:pt>
                <c:pt idx="59">
                  <c:v>1月28日</c:v>
                </c:pt>
                <c:pt idx="60">
                  <c:v>1月29日</c:v>
                </c:pt>
                <c:pt idx="61">
                  <c:v>1月30日</c:v>
                </c:pt>
                <c:pt idx="62">
                  <c:v>1月31日</c:v>
                </c:pt>
                <c:pt idx="63">
                  <c:v>2月1日</c:v>
                </c:pt>
                <c:pt idx="64">
                  <c:v>2月2日</c:v>
                </c:pt>
                <c:pt idx="65">
                  <c:v>2月3日</c:v>
                </c:pt>
                <c:pt idx="66">
                  <c:v>2月4日</c:v>
                </c:pt>
                <c:pt idx="67">
                  <c:v>2月5日</c:v>
                </c:pt>
                <c:pt idx="68">
                  <c:v>2月6日</c:v>
                </c:pt>
                <c:pt idx="69">
                  <c:v>2月7日</c:v>
                </c:pt>
                <c:pt idx="70">
                  <c:v>2月8日</c:v>
                </c:pt>
                <c:pt idx="71">
                  <c:v>2月9日</c:v>
                </c:pt>
                <c:pt idx="72">
                  <c:v>2月10日</c:v>
                </c:pt>
                <c:pt idx="73">
                  <c:v>2月11日</c:v>
                </c:pt>
                <c:pt idx="74">
                  <c:v>2月12日</c:v>
                </c:pt>
                <c:pt idx="75">
                  <c:v>2月13日</c:v>
                </c:pt>
                <c:pt idx="76">
                  <c:v>2月15日</c:v>
                </c:pt>
                <c:pt idx="77">
                  <c:v>2月16日</c:v>
                </c:pt>
                <c:pt idx="78">
                  <c:v>2月17日</c:v>
                </c:pt>
                <c:pt idx="79">
                  <c:v>2月19日</c:v>
                </c:pt>
                <c:pt idx="80">
                  <c:v>2月20日</c:v>
                </c:pt>
                <c:pt idx="81">
                  <c:v>2月21日</c:v>
                </c:pt>
                <c:pt idx="82">
                  <c:v>2月22日</c:v>
                </c:pt>
                <c:pt idx="83">
                  <c:v>2月23日</c:v>
                </c:pt>
                <c:pt idx="84">
                  <c:v>2月24日</c:v>
                </c:pt>
                <c:pt idx="85">
                  <c:v>2月25日</c:v>
                </c:pt>
                <c:pt idx="86">
                  <c:v>2月26日</c:v>
                </c:pt>
                <c:pt idx="87">
                  <c:v>2月27日</c:v>
                </c:pt>
                <c:pt idx="88">
                  <c:v>2月28日</c:v>
                </c:pt>
                <c:pt idx="89">
                  <c:v>3月1日</c:v>
                </c:pt>
                <c:pt idx="90">
                  <c:v>3月2日</c:v>
                </c:pt>
                <c:pt idx="91">
                  <c:v>3月3日</c:v>
                </c:pt>
                <c:pt idx="92">
                  <c:v>3月4日</c:v>
                </c:pt>
                <c:pt idx="93">
                  <c:v>3月5日</c:v>
                </c:pt>
                <c:pt idx="94">
                  <c:v>3月6日</c:v>
                </c:pt>
                <c:pt idx="95">
                  <c:v>3月7日</c:v>
                </c:pt>
                <c:pt idx="96">
                  <c:v>3月8日</c:v>
                </c:pt>
                <c:pt idx="97">
                  <c:v>3月9日</c:v>
                </c:pt>
                <c:pt idx="98">
                  <c:v>3月10日</c:v>
                </c:pt>
                <c:pt idx="99">
                  <c:v>3月11日</c:v>
                </c:pt>
                <c:pt idx="100">
                  <c:v>3月12日</c:v>
                </c:pt>
                <c:pt idx="101">
                  <c:v>3月13日</c:v>
                </c:pt>
                <c:pt idx="102">
                  <c:v>3月14日</c:v>
                </c:pt>
                <c:pt idx="103">
                  <c:v>3月15日</c:v>
                </c:pt>
                <c:pt idx="104">
                  <c:v>3月16日</c:v>
                </c:pt>
                <c:pt idx="105">
                  <c:v>3月17日</c:v>
                </c:pt>
                <c:pt idx="106">
                  <c:v>3月18日</c:v>
                </c:pt>
                <c:pt idx="107">
                  <c:v>3月19日</c:v>
                </c:pt>
                <c:pt idx="108">
                  <c:v>3月20日</c:v>
                </c:pt>
                <c:pt idx="109">
                  <c:v>3月21日</c:v>
                </c:pt>
                <c:pt idx="110">
                  <c:v>3月22日</c:v>
                </c:pt>
                <c:pt idx="111">
                  <c:v>3月23日</c:v>
                </c:pt>
                <c:pt idx="112">
                  <c:v>3月24日</c:v>
                </c:pt>
                <c:pt idx="113">
                  <c:v>3月25日</c:v>
                </c:pt>
                <c:pt idx="114">
                  <c:v>3月26日</c:v>
                </c:pt>
                <c:pt idx="115">
                  <c:v>3月27日</c:v>
                </c:pt>
                <c:pt idx="116">
                  <c:v>3月28日</c:v>
                </c:pt>
                <c:pt idx="117">
                  <c:v>3月29日</c:v>
                </c:pt>
                <c:pt idx="118">
                  <c:v>3月30日</c:v>
                </c:pt>
                <c:pt idx="119">
                  <c:v>3月31日</c:v>
                </c:pt>
                <c:pt idx="120">
                  <c:v>4月1日</c:v>
                </c:pt>
                <c:pt idx="121">
                  <c:v>4月2日</c:v>
                </c:pt>
                <c:pt idx="122">
                  <c:v>4月3日</c:v>
                </c:pt>
                <c:pt idx="123">
                  <c:v>4月4日</c:v>
                </c:pt>
                <c:pt idx="124">
                  <c:v>4月5日</c:v>
                </c:pt>
                <c:pt idx="125">
                  <c:v>4月6日</c:v>
                </c:pt>
                <c:pt idx="126">
                  <c:v>4月7日</c:v>
                </c:pt>
                <c:pt idx="127">
                  <c:v>4月8日</c:v>
                </c:pt>
                <c:pt idx="128">
                  <c:v>4月9日</c:v>
                </c:pt>
                <c:pt idx="129">
                  <c:v>4月10日</c:v>
                </c:pt>
                <c:pt idx="130">
                  <c:v>4月11日</c:v>
                </c:pt>
                <c:pt idx="131">
                  <c:v>4月12日</c:v>
                </c:pt>
                <c:pt idx="132">
                  <c:v>4月13日</c:v>
                </c:pt>
                <c:pt idx="133">
                  <c:v>4月14日</c:v>
                </c:pt>
                <c:pt idx="134">
                  <c:v>4月15日</c:v>
                </c:pt>
                <c:pt idx="135">
                  <c:v>4月16日</c:v>
                </c:pt>
                <c:pt idx="136">
                  <c:v>4月17日</c:v>
                </c:pt>
                <c:pt idx="137">
                  <c:v>4月18日</c:v>
                </c:pt>
              </c:strCache>
            </c:strRef>
          </c:cat>
          <c:val>
            <c:numRef>
              <c:f>直播数据!$T$5:$T$142</c:f>
              <c:numCache>
                <c:formatCode>General</c:formatCode>
                <c:ptCount val="138"/>
                <c:pt idx="121">
                  <c:v>7407</c:v>
                </c:pt>
                <c:pt idx="122">
                  <c:v>8093</c:v>
                </c:pt>
                <c:pt idx="123">
                  <c:v>5553</c:v>
                </c:pt>
                <c:pt idx="124">
                  <c:v>4625</c:v>
                </c:pt>
                <c:pt idx="125">
                  <c:v>4976</c:v>
                </c:pt>
                <c:pt idx="127">
                  <c:v>4995</c:v>
                </c:pt>
                <c:pt idx="128">
                  <c:v>5706</c:v>
                </c:pt>
                <c:pt idx="129">
                  <c:v>5860</c:v>
                </c:pt>
                <c:pt idx="130">
                  <c:v>7928</c:v>
                </c:pt>
                <c:pt idx="131">
                  <c:v>6707</c:v>
                </c:pt>
                <c:pt idx="132">
                  <c:v>8624</c:v>
                </c:pt>
                <c:pt idx="134">
                  <c:v>4710</c:v>
                </c:pt>
                <c:pt idx="135">
                  <c:v>5613</c:v>
                </c:pt>
                <c:pt idx="136">
                  <c:v>4705</c:v>
                </c:pt>
                <c:pt idx="137">
                  <c:v>3542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026362"/>
        <c:axId val="98084845"/>
      </c:lineChart>
      <c:catAx>
        <c:axId val="240263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084845"/>
        <c:crosses val="autoZero"/>
        <c:auto val="1"/>
        <c:lblAlgn val="ctr"/>
        <c:lblOffset val="100"/>
        <c:noMultiLvlLbl val="0"/>
      </c:catAx>
      <c:valAx>
        <c:axId val="980848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0263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698500</xdr:colOff>
      <xdr:row>6</xdr:row>
      <xdr:rowOff>101600</xdr:rowOff>
    </xdr:from>
    <xdr:to>
      <xdr:col>24</xdr:col>
      <xdr:colOff>106680</xdr:colOff>
      <xdr:row>27</xdr:row>
      <xdr:rowOff>56515</xdr:rowOff>
    </xdr:to>
    <xdr:graphicFrame>
      <xdr:nvGraphicFramePr>
        <xdr:cNvPr id="2" name="图表 1"/>
        <xdr:cNvGraphicFramePr/>
      </xdr:nvGraphicFramePr>
      <xdr:xfrm>
        <a:off x="8597900" y="1092200"/>
        <a:ext cx="5802630" cy="3422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1.9079398148" refreshedBy="Patton" recordCount="567">
  <cacheSource type="worksheet">
    <worksheetSource ref="A1:H568" sheet="分析"/>
  </cacheSource>
  <cacheFields count="8">
    <cacheField name="income_date" numFmtId="14">
      <sharedItems containsSemiMixedTypes="0" containsString="0" containsNonDate="0" containsDate="1" minDate="2025-12-01T00:00:00" maxDate="2026-04-18T00:00:00" count="135">
        <d v="2025-12-01T00:00:00"/>
        <d v="2025-12-02T00:00:00"/>
        <d v="2025-12-03T00:00:00"/>
        <d v="2025-12-04T00:00:00"/>
        <d v="2025-12-05T00:00:00"/>
        <d v="2025-12-07T00:00:00"/>
        <d v="2025-12-08T00:00:00"/>
        <d v="2025-12-09T00:00:00"/>
        <d v="2025-12-10T00:00:00"/>
        <d v="2025-12-11T00:00:00"/>
        <d v="2025-12-13T00:00:00"/>
        <d v="2025-12-14T00:00:00"/>
        <d v="2025-12-16T00:00:00"/>
        <d v="2025-12-17T00:00:00"/>
        <d v="2025-12-18T00:00:00"/>
        <d v="2025-12-19T00:00:00"/>
        <d v="2025-12-20T00:00:00"/>
        <d v="2025-12-21T00:00:00"/>
        <d v="2025-12-23T00:00:00"/>
        <d v="2025-12-24T00:00:00"/>
        <d v="2025-12-25T00:00:00"/>
        <d v="2025-12-26T00:00:00"/>
        <d v="2025-12-27T00:00:00"/>
        <d v="2025-12-28T00:00:00"/>
        <d v="2025-12-30T00:00:00"/>
        <d v="2026-01-01T00:00:00"/>
        <d v="2026-01-02T00:00:00"/>
        <d v="2026-01-03T00:00:00"/>
        <d v="2026-01-04T00:00:00"/>
        <d v="2026-01-06T00:00:00"/>
        <d v="2026-01-07T00:00:00"/>
        <d v="2026-01-08T00:00:00"/>
        <d v="2026-01-09T00:00:00"/>
        <d v="2026-01-10T00:00:00"/>
        <d v="2026-01-13T00:00:00"/>
        <d v="2026-01-14T00:00:00"/>
        <d v="2026-01-15T00:00:00"/>
        <d v="2026-01-16T00:00:00"/>
        <d v="2026-01-17T00:00:00"/>
        <d v="2026-01-20T00:00:00"/>
        <d v="2026-01-21T00:00:00"/>
        <d v="2026-01-22T00:00:00"/>
        <d v="2026-01-23T00:00:00"/>
        <d v="2026-01-24T00:00:00"/>
        <d v="2026-01-27T00:00:00"/>
        <d v="2026-01-28T00:00:00"/>
        <d v="2026-01-30T00:00:00"/>
        <d v="2026-01-31T00:00:00"/>
        <d v="2026-02-01T00:00:00"/>
        <d v="2026-02-03T00:00:00"/>
        <d v="2026-02-04T00:00:00"/>
        <d v="2026-02-05T00:00:00"/>
        <d v="2026-02-06T00:00:00"/>
        <d v="2026-02-07T00:00:00"/>
        <d v="2026-02-08T00:00:00"/>
        <d v="2026-02-10T00:00:00"/>
        <d v="2026-02-11T00:00:00"/>
        <d v="2026-02-12T00:00:00"/>
        <d v="2026-02-17T00:00:00"/>
        <d v="2026-02-19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6T00:00:00"/>
        <d v="2026-03-07T00:00:00"/>
        <d v="2026-03-08T00:00:00"/>
        <d v="2026-03-10T00:00:00"/>
        <d v="2026-03-11T00:00:00"/>
        <d v="2026-03-12T00:00:00"/>
        <d v="2026-03-13T00:00:00"/>
        <d v="2026-03-14T00:00:00"/>
        <d v="2026-03-15T00:00:00"/>
        <d v="2026-03-19T00:00:00"/>
        <d v="2026-03-21T00:00:00"/>
        <d v="2026-03-22T00:00:00"/>
        <d v="2026-03-24T00:00:00"/>
        <d v="2026-03-25T00:00:00"/>
        <d v="2026-03-27T00:00:00"/>
        <d v="2026-03-28T00:00:00"/>
        <d v="2026-03-29T00:00:00"/>
        <d v="2026-03-31T00:00:00"/>
        <d v="2026-04-01T00:00:00"/>
        <d v="2026-04-02T00:00:00"/>
        <d v="2026-04-04T00:00:00"/>
        <d v="2026-04-05T00:00:00"/>
        <d v="2026-04-07T00:00:00"/>
        <d v="2026-04-08T00:00:00"/>
        <d v="2026-04-09T00:00:00"/>
        <d v="2025-12-06T00:00:00"/>
        <d v="2025-12-31T00:00:00"/>
        <d v="2026-01-11T00:00:00"/>
        <d v="2026-01-18T00:00:00"/>
        <d v="2026-01-25T00:00:00"/>
        <d v="2026-01-29T00:00:00"/>
        <d v="2026-02-13T00:00:00"/>
        <d v="2026-02-15T00:00:00"/>
        <d v="2026-02-16T00:00:00"/>
        <d v="2026-03-03T00:00:00"/>
        <d v="2026-03-04T00:00:00"/>
        <d v="2026-03-05T00:00:00"/>
        <d v="2026-03-17T00:00:00"/>
        <d v="2026-03-18T00:00:00"/>
        <d v="2026-03-20T00:00:00"/>
        <d v="2026-03-26T00:00:00"/>
        <d v="2026-03-30T00:00:00"/>
        <d v="2026-04-03T00:00:00"/>
        <d v="2026-04-06T00:00:00"/>
        <d v="2026-01-05T00:00:00"/>
        <d v="2026-01-12T00:00:00"/>
        <d v="2026-01-19T00:00:00"/>
        <d v="2026-01-26T00:00:00"/>
        <d v="2026-02-02T00:00:00"/>
        <d v="2026-02-09T00:00:00"/>
        <d v="2026-02-20T00:00:00"/>
        <d v="2026-02-21T00:00:00"/>
        <d v="2026-03-02T00:00:00"/>
        <d v="2026-03-09T00:00:00"/>
        <d v="2026-03-16T00:00:00"/>
        <d v="2026-03-23T00:00:00"/>
        <d v="2026-02-14T00:00:00"/>
        <d v="2026-02-18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</sharedItems>
    </cacheField>
    <cacheField name="income_type" numFmtId="0">
      <sharedItems count="2">
        <s v="tt"/>
        <s v="order"/>
      </sharedItems>
    </cacheField>
    <cacheField name="streamer_name" numFmtId="0">
      <sharedItems count="7">
        <s v="志青"/>
        <s v="阿贤"/>
        <s v="阿美"/>
        <s v="阿园"/>
        <s v="pink"/>
        <s v="peo"/>
        <s v="ven"/>
      </sharedItems>
    </cacheField>
    <cacheField name="income_amount" numFmtId="0">
      <sharedItems containsSemiMixedTypes="0" containsString="0" containsNumber="1" containsInteger="1" minValue="0" maxValue="18705000" count="549">
        <n v="131"/>
        <n v="437"/>
        <n v="148"/>
        <n v="98"/>
        <n v="302"/>
        <n v="669"/>
        <n v="1119"/>
        <n v="1147"/>
        <n v="470"/>
        <n v="3427"/>
        <n v="443"/>
        <n v="4818"/>
        <n v="1797"/>
        <n v="738"/>
        <n v="852"/>
        <n v="1354"/>
        <n v="43"/>
        <n v="1913"/>
        <n v="1363"/>
        <n v="2299"/>
        <n v="1396"/>
        <n v="2766"/>
        <n v="1385"/>
        <n v="1747"/>
        <n v="1472"/>
        <n v="5507"/>
        <n v="1271"/>
        <n v="927"/>
        <n v="2450"/>
        <n v="5364"/>
        <n v="6319"/>
        <n v="2475"/>
        <n v="10475"/>
        <n v="7052"/>
        <n v="3936"/>
        <n v="4092"/>
        <n v="5474"/>
        <n v="3433"/>
        <n v="5982"/>
        <n v="4534"/>
        <n v="7048"/>
        <n v="2530"/>
        <n v="7176"/>
        <n v="10976"/>
        <n v="5086"/>
        <n v="1557"/>
        <n v="12194"/>
        <n v="4091"/>
        <n v="1988"/>
        <n v="3701"/>
        <n v="7801"/>
        <n v="4969"/>
        <n v="5301"/>
        <n v="2480"/>
        <n v="2100"/>
        <n v="11108"/>
        <n v="6081"/>
        <n v="4267"/>
        <n v="2407"/>
        <n v="8159"/>
        <n v="4188"/>
        <n v="4278"/>
        <n v="5024"/>
        <n v="4155"/>
        <n v="3154"/>
        <n v="3753"/>
        <n v="6685"/>
        <n v="9856"/>
        <n v="6168"/>
        <n v="5110"/>
        <n v="5926"/>
        <n v="3942"/>
        <n v="2596"/>
        <n v="1494"/>
        <n v="1593"/>
        <n v="1716"/>
        <n v="4644"/>
        <n v="2764"/>
        <n v="2115"/>
        <n v="1474"/>
        <n v="3446"/>
        <n v="3396"/>
        <n v="1442"/>
        <n v="954"/>
        <n v="1185"/>
        <n v="429"/>
        <n v="1258"/>
        <n v="1468"/>
        <n v="2623"/>
        <n v="1701"/>
        <n v="2249"/>
        <n v="923"/>
        <n v="90"/>
        <n v="17"/>
        <n v="50"/>
        <n v="23"/>
        <n v="21"/>
        <n v="1778"/>
        <n v="156"/>
        <n v="2369"/>
        <n v="2006"/>
        <n v="11186"/>
        <n v="6797"/>
        <n v="1713"/>
        <n v="919"/>
        <n v="1197"/>
        <n v="2349"/>
        <n v="2178"/>
        <n v="5755"/>
        <n v="1789"/>
        <n v="8086"/>
        <n v="12109"/>
        <n v="6618"/>
        <n v="13106"/>
        <n v="10834"/>
        <n v="5817"/>
        <n v="13095"/>
        <n v="5423"/>
        <n v="8088"/>
        <n v="4756"/>
        <n v="4487"/>
        <n v="6261"/>
        <n v="9100"/>
        <n v="4927"/>
        <n v="12060"/>
        <n v="15085"/>
        <n v="5129"/>
        <n v="11615"/>
        <n v="12385"/>
        <n v="7580"/>
        <n v="17087"/>
        <n v="6099"/>
        <n v="20099"/>
        <n v="17463"/>
        <n v="35484"/>
        <n v="21445"/>
        <n v="21843"/>
        <n v="3712"/>
        <n v="12880"/>
        <n v="11058"/>
        <n v="9323"/>
        <n v="14822"/>
        <n v="10124"/>
        <n v="2034"/>
        <n v="10375"/>
        <n v="4813"/>
        <n v="5460"/>
        <n v="16076"/>
        <n v="8735"/>
        <n v="16200"/>
        <n v="30031"/>
        <n v="24316"/>
        <n v="32017"/>
        <n v="19447"/>
        <n v="16749"/>
        <n v="11855"/>
        <n v="11601"/>
        <n v="31867"/>
        <n v="14864"/>
        <n v="21653"/>
        <n v="11247"/>
        <n v="10752"/>
        <n v="18083"/>
        <n v="24508"/>
        <n v="21562"/>
        <n v="26009"/>
        <n v="33843"/>
        <n v="11593"/>
        <n v="39393"/>
        <n v="28143"/>
        <n v="20346"/>
        <n v="12577"/>
        <n v="19069"/>
        <n v="10305"/>
        <n v="21416"/>
        <n v="24073"/>
        <n v="12137"/>
        <n v="23571"/>
        <n v="12776"/>
        <n v="16095"/>
        <n v="13338"/>
        <n v="14775"/>
        <n v="24845"/>
        <n v="13034"/>
        <n v="15145"/>
        <n v="19216"/>
        <n v="4072"/>
        <n v="75975"/>
        <n v="8065"/>
        <n v="10337"/>
        <n v="6645"/>
        <n v="10091"/>
        <n v="8256"/>
        <n v="12302"/>
        <n v="18358"/>
        <n v="14517"/>
        <n v="5967"/>
        <n v="39779"/>
        <n v="501"/>
        <n v="961"/>
        <n v="1599"/>
        <n v="2811"/>
        <n v="1033"/>
        <n v="2492"/>
        <n v="1110"/>
        <n v="2344"/>
        <n v="1126"/>
        <n v="4012"/>
        <n v="2705"/>
        <n v="837"/>
        <n v="1647"/>
        <n v="1580"/>
        <n v="2241"/>
        <n v="4824"/>
        <n v="7678"/>
        <n v="6707"/>
        <n v="5313"/>
        <n v="3693"/>
        <n v="24124"/>
        <n v="5068"/>
        <n v="8115"/>
        <n v="5186"/>
        <n v="13854"/>
        <n v="2624"/>
        <n v="5725"/>
        <n v="8571"/>
        <n v="18811"/>
        <n v="16630"/>
        <n v="10937"/>
        <n v="7578"/>
        <n v="5414"/>
        <n v="2543"/>
        <n v="3141"/>
        <n v="2760"/>
        <n v="12239"/>
        <n v="5055"/>
        <n v="5170"/>
        <n v="6650"/>
        <n v="8025"/>
        <n v="16835"/>
        <n v="11134"/>
        <n v="3211"/>
        <n v="10524"/>
        <n v="22081"/>
        <n v="16771"/>
        <n v="16185"/>
        <n v="22224"/>
        <n v="28339"/>
        <n v="14959"/>
        <n v="8521"/>
        <n v="28652"/>
        <n v="16812"/>
        <n v="31423"/>
        <n v="12362"/>
        <n v="10135"/>
        <n v="13634"/>
        <n v="9130"/>
        <n v="7559"/>
        <n v="7533"/>
        <n v="9833"/>
        <n v="9914"/>
        <n v="19513"/>
        <n v="6354"/>
        <n v="8279"/>
        <n v="7328"/>
        <n v="8321"/>
        <n v="13538"/>
        <n v="10166"/>
        <n v="6343"/>
        <n v="11244"/>
        <n v="8788"/>
        <n v="15482"/>
        <n v="74292"/>
        <n v="17291"/>
        <n v="5688"/>
        <n v="6520"/>
        <n v="2595"/>
        <n v="3319"/>
        <n v="4363"/>
        <n v="1957"/>
        <n v="4827"/>
        <n v="3649"/>
        <n v="4149"/>
        <n v="3835"/>
        <n v="1870"/>
        <n v="1519"/>
        <n v="1422"/>
        <n v="911"/>
        <n v="1561"/>
        <n v="1150"/>
        <n v="816"/>
        <n v="1394"/>
        <n v="1733"/>
        <n v="820"/>
        <n v="757"/>
        <n v="4146"/>
        <n v="3066"/>
        <n v="1650"/>
        <n v="1601"/>
        <n v="3318"/>
        <n v="1636"/>
        <n v="729"/>
        <n v="278"/>
        <n v="632"/>
        <n v="294"/>
        <n v="1419"/>
        <n v="438"/>
        <n v="335"/>
        <n v="281"/>
        <n v="568"/>
        <n v="466"/>
        <n v="97"/>
        <n v="975"/>
        <n v="764"/>
        <n v="174"/>
        <n v="1537"/>
        <n v="625"/>
        <n v="327"/>
        <n v="321"/>
        <n v="618"/>
        <n v="426"/>
        <n v="522"/>
        <n v="1044"/>
        <n v="270"/>
        <n v="783"/>
        <n v="1141"/>
        <n v="22000"/>
        <n v="109000"/>
        <n v="44000"/>
        <n v="327000"/>
        <n v="491000"/>
        <n v="1056000"/>
        <n v="2438000"/>
        <n v="14507000"/>
        <n v="6674000"/>
        <n v="285000"/>
        <n v="9170000"/>
        <n v="5967000"/>
        <n v="3298000"/>
        <n v="4043000"/>
        <n v="5804000"/>
        <n v="2498000"/>
        <n v="2899000"/>
        <n v="10738000"/>
        <n v="3988000"/>
        <n v="4335000"/>
        <n v="9516000"/>
        <n v="2676000"/>
        <n v="10092000"/>
        <n v="4773000"/>
        <n v="3634000"/>
        <n v="2499000"/>
        <n v="4918000"/>
        <n v="2616000"/>
        <n v="1122000"/>
        <n v="1620000"/>
        <n v="1338000"/>
        <n v="12744000"/>
        <n v="2272000"/>
        <n v="2094000"/>
        <n v="2532000"/>
        <n v="1412000"/>
        <n v="809000"/>
        <n v="3140000"/>
        <n v="3925000"/>
        <n v="3750000"/>
        <n v="10647000"/>
        <n v="5753000"/>
        <n v="1303000"/>
        <n v="100000"/>
        <n v="1200000"/>
        <n v="3256000"/>
        <n v="2012000"/>
        <n v="12357000"/>
        <n v="5572000"/>
        <n v="2655000"/>
        <n v="1315000"/>
        <n v="3557000"/>
        <n v="14059000"/>
        <n v="2212000"/>
        <n v="3145000"/>
        <n v="3373000"/>
        <n v="2160000"/>
        <n v="474000"/>
        <n v="690000"/>
        <n v="3929000"/>
        <n v="18705000"/>
        <n v="10451000"/>
        <n v="2896000"/>
        <n v="2580000"/>
        <n v="382000"/>
        <n v="14632000"/>
        <n v="2917000"/>
        <n v="5355000"/>
        <n v="2512000"/>
        <n v="1707000"/>
        <n v="13168000"/>
        <n v="1309000"/>
        <n v="69000"/>
        <n v="1872000"/>
        <n v="10722000"/>
        <n v="50000"/>
        <n v="626000"/>
        <n v="138000"/>
        <n v="131000"/>
        <n v="289000"/>
        <n v="2570000"/>
        <n v="9271000"/>
        <n v="7937000"/>
        <n v="8270000"/>
        <n v="5929000"/>
        <n v="2047000"/>
        <n v="7479000"/>
        <n v="9583000"/>
        <n v="4111000"/>
        <n v="6834000"/>
        <n v="4701000"/>
        <n v="5134000"/>
        <n v="4516000"/>
        <n v="7212000"/>
        <n v="6754000"/>
        <n v="11783000"/>
        <n v="8224000"/>
        <n v="6136000"/>
        <n v="4965000"/>
        <n v="7815000"/>
        <n v="8780000"/>
        <n v="4298000"/>
        <n v="3375000"/>
        <n v="3712000"/>
        <n v="2069000"/>
        <n v="4272000"/>
        <n v="3981000"/>
        <n v="6150000"/>
        <n v="278000"/>
        <n v="2594000"/>
        <n v="3337000"/>
        <n v="3100000"/>
        <n v="1300000"/>
        <n v="7744000"/>
        <n v="4050000"/>
        <n v="4709000"/>
        <n v="12100000"/>
        <n v="5109000"/>
        <n v="6450000"/>
        <n v="1000000"/>
        <n v="11022000"/>
        <n v="9585000"/>
        <n v="383000"/>
        <n v="8158000"/>
        <n v="3478000"/>
        <n v="3212000"/>
        <n v="7570000"/>
        <n v="2992000"/>
        <n v="3454000"/>
        <n v="7441000"/>
        <n v="5131000"/>
        <n v="2650000"/>
        <n v="6995000"/>
        <n v="5213000"/>
        <n v="6459000"/>
        <n v="3842000"/>
        <n v="1564000"/>
        <n v="3764000"/>
        <n v="5200000"/>
        <n v="4723000"/>
        <n v="1271000"/>
        <n v="15613000"/>
        <n v="2853000"/>
        <n v="2301000"/>
        <n v="7200000"/>
        <n v="13943000"/>
        <n v="2149000"/>
        <n v="6284000"/>
        <n v="1025000"/>
        <n v="787000"/>
        <n v="875000"/>
        <n v="0"/>
        <n v="3307000"/>
        <n v="647000"/>
        <n v="892"/>
        <n v="920"/>
        <n v="1088"/>
        <n v="3161"/>
        <n v="13267"/>
        <n v="4147"/>
        <n v="3561000"/>
        <n v="244000"/>
        <n v="977"/>
        <n v="1502"/>
        <n v="1817"/>
        <n v="2702"/>
        <n v="7539"/>
        <n v="7661"/>
        <n v="1401"/>
        <n v="1261000"/>
        <n v="594000"/>
        <n v="1659"/>
        <n v="369"/>
        <n v="2569"/>
        <n v="2175"/>
        <n v="5645"/>
        <n v="22277"/>
        <n v="606000"/>
        <n v="11109000"/>
        <n v="995"/>
        <n v="605"/>
        <n v="1434"/>
        <n v="6599"/>
        <n v="7825"/>
        <n v="3178000"/>
        <n v="699"/>
        <n v="1286"/>
        <n v="1545"/>
        <n v="8893"/>
        <n v="15581"/>
        <n v="2455000"/>
        <n v="1566000"/>
        <n v="231"/>
        <n v="898"/>
        <n v="1710"/>
        <n v="11042"/>
        <n v="20731"/>
        <n v="1941"/>
        <n v="3784000"/>
        <n v="1544000"/>
        <n v="639"/>
        <n v="700"/>
        <n v="1290"/>
        <n v="32049"/>
        <n v="18207"/>
        <n v="3792"/>
        <n v="2307000"/>
        <n v="1550000"/>
        <n v="314"/>
        <n v="580"/>
        <n v="1796"/>
        <n v="1721"/>
        <n v="44702"/>
        <n v="1217"/>
        <n v="361"/>
        <n v="147"/>
        <n v="275"/>
        <n v="1266"/>
        <n v="13468"/>
        <n v="23825"/>
        <n v="1952"/>
        <n v="1695000"/>
        <n v="450000"/>
      </sharedItems>
    </cacheField>
    <cacheField name="share_amount" numFmtId="0">
      <sharedItems containsSemiMixedTypes="0" containsString="0" containsNumber="1" containsInteger="1" minValue="0" maxValue="4676250" count="380">
        <n v="32"/>
        <n v="109"/>
        <n v="37"/>
        <n v="24"/>
        <n v="75"/>
        <n v="167"/>
        <n v="279"/>
        <n v="286"/>
        <n v="117"/>
        <n v="856"/>
        <n v="110"/>
        <n v="1204"/>
        <n v="449"/>
        <n v="184"/>
        <n v="213"/>
        <n v="338"/>
        <n v="10"/>
        <n v="478"/>
        <n v="340"/>
        <n v="574"/>
        <n v="349"/>
        <n v="691"/>
        <n v="346"/>
        <n v="436"/>
        <n v="368"/>
        <n v="1376"/>
        <n v="317"/>
        <n v="231"/>
        <n v="612"/>
        <n v="1341"/>
        <n v="1579"/>
        <n v="618"/>
        <n v="2618"/>
        <n v="1763"/>
        <n v="984"/>
        <n v="1023"/>
        <n v="1368"/>
        <n v="858"/>
        <n v="1495"/>
        <n v="1133"/>
        <n v="1762"/>
        <n v="632"/>
        <n v="1794"/>
        <n v="2744"/>
        <n v="1271"/>
        <n v="389"/>
        <n v="3048"/>
        <n v="1022"/>
        <n v="497"/>
        <n v="925"/>
        <n v="1950"/>
        <n v="1242"/>
        <n v="1325"/>
        <n v="620"/>
        <n v="525"/>
        <n v="2777"/>
        <n v="1520"/>
        <n v="1066"/>
        <n v="601"/>
        <n v="2039"/>
        <n v="1047"/>
        <n v="1069"/>
        <n v="1256"/>
        <n v="1038"/>
        <n v="788"/>
        <n v="938"/>
        <n v="1671"/>
        <n v="2464"/>
        <n v="1542"/>
        <n v="1277"/>
        <n v="1481"/>
        <n v="985"/>
        <n v="649"/>
        <n v="373"/>
        <n v="398"/>
        <n v="429"/>
        <n v="1161"/>
        <n v="528"/>
        <n v="861"/>
        <n v="849"/>
        <n v="360"/>
        <n v="238"/>
        <n v="296"/>
        <n v="107"/>
        <n v="314"/>
        <n v="367"/>
        <n v="655"/>
        <n v="425"/>
        <n v="562"/>
        <n v="230"/>
        <n v="22"/>
        <n v="4"/>
        <n v="12"/>
        <n v="5"/>
        <n v="444"/>
        <n v="39"/>
        <n v="592"/>
        <n v="501"/>
        <n v="2796"/>
        <n v="1699"/>
        <n v="428"/>
        <n v="229"/>
        <n v="299"/>
        <n v="587"/>
        <n v="544"/>
        <n v="1438"/>
        <n v="447"/>
        <n v="2021"/>
        <n v="3027"/>
        <n v="1654"/>
        <n v="3276"/>
        <n v="2708"/>
        <n v="1454"/>
        <n v="3273"/>
        <n v="1355"/>
        <n v="2022"/>
        <n v="1189"/>
        <n v="1121"/>
        <n v="1565"/>
        <n v="2275"/>
        <n v="1231"/>
        <n v="3015"/>
        <n v="3771"/>
        <n v="1282"/>
        <n v="2903"/>
        <n v="3096"/>
        <n v="1895"/>
        <n v="4271"/>
        <n v="1524"/>
        <n v="5024"/>
        <n v="4365"/>
        <n v="8871"/>
        <n v="5361"/>
        <n v="5460"/>
        <n v="928"/>
        <n v="3220"/>
        <n v="2764"/>
        <n v="2330"/>
        <n v="3705"/>
        <n v="2531"/>
        <n v="508"/>
        <n v="2593"/>
        <n v="1203"/>
        <n v="1365"/>
        <n v="4019"/>
        <n v="2183"/>
        <n v="4050"/>
        <n v="7507"/>
        <n v="6079"/>
        <n v="8004"/>
        <n v="4861"/>
        <n v="4187"/>
        <n v="2963"/>
        <n v="2900"/>
        <n v="7966"/>
        <n v="3716"/>
        <n v="5413"/>
        <n v="2811"/>
        <n v="2688"/>
        <n v="4520"/>
        <n v="6127"/>
        <n v="5390"/>
        <n v="6502"/>
        <n v="8460"/>
        <n v="2898"/>
        <n v="9848"/>
        <n v="7035"/>
        <n v="5086"/>
        <n v="3144"/>
        <n v="4767"/>
        <n v="2576"/>
        <n v="5354"/>
        <n v="6018"/>
        <n v="3034"/>
        <n v="5892"/>
        <n v="3194"/>
        <n v="4023"/>
        <n v="3334"/>
        <n v="3693"/>
        <n v="6211"/>
        <n v="3258"/>
        <n v="3786"/>
        <n v="4804"/>
        <n v="1018"/>
        <n v="18993"/>
        <n v="2016"/>
        <n v="2584"/>
        <n v="1661"/>
        <n v="2522"/>
        <n v="2064"/>
        <n v="3075"/>
        <n v="4589"/>
        <n v="3629"/>
        <n v="1491"/>
        <n v="9944"/>
        <n v="0"/>
        <n v="5500"/>
        <n v="27250"/>
        <n v="11000"/>
        <n v="81750"/>
        <n v="122750"/>
        <n v="264000"/>
        <n v="609500"/>
        <n v="3626750"/>
        <n v="1668500"/>
        <n v="71250"/>
        <n v="2292500"/>
        <n v="1491750"/>
        <n v="824500"/>
        <n v="1010750"/>
        <n v="1451000"/>
        <n v="624500"/>
        <n v="724750"/>
        <n v="2684500"/>
        <n v="997000"/>
        <n v="1083750"/>
        <n v="2379000"/>
        <n v="669000"/>
        <n v="2523000"/>
        <n v="1193250"/>
        <n v="908500"/>
        <n v="624750"/>
        <n v="1229500"/>
        <n v="654000"/>
        <n v="280500"/>
        <n v="405000"/>
        <n v="334500"/>
        <n v="3186000"/>
        <n v="568000"/>
        <n v="523500"/>
        <n v="633000"/>
        <n v="353000"/>
        <n v="202250"/>
        <n v="785000"/>
        <n v="981250"/>
        <n v="937500"/>
        <n v="2661750"/>
        <n v="1438250"/>
        <n v="325750"/>
        <n v="25000"/>
        <n v="300000"/>
        <n v="814000"/>
        <n v="503000"/>
        <n v="3089250"/>
        <n v="1393000"/>
        <n v="663750"/>
        <n v="328750"/>
        <n v="889250"/>
        <n v="3514750"/>
        <n v="553000"/>
        <n v="786250"/>
        <n v="843250"/>
        <n v="540000"/>
        <n v="118500"/>
        <n v="172500"/>
        <n v="982250"/>
        <n v="4676250"/>
        <n v="2612750"/>
        <n v="724000"/>
        <n v="645000"/>
        <n v="95500"/>
        <n v="3658000"/>
        <n v="729250"/>
        <n v="1338750"/>
        <n v="628000"/>
        <n v="426750"/>
        <n v="3292000"/>
        <n v="327250"/>
        <n v="17250"/>
        <n v="468000"/>
        <n v="2680500"/>
        <n v="5000"/>
        <n v="62600"/>
        <n v="4400"/>
        <n v="13800"/>
        <n v="10900"/>
        <n v="13100"/>
        <n v="28900"/>
        <n v="257000"/>
        <n v="927100"/>
        <n v="793700"/>
        <n v="827000"/>
        <n v="592900"/>
        <n v="204700"/>
        <n v="747900"/>
        <n v="958300"/>
        <n v="411100"/>
        <n v="683400"/>
        <n v="470100"/>
        <n v="513400"/>
        <n v="451600"/>
        <n v="721200"/>
        <n v="675400"/>
        <n v="1178300"/>
        <n v="822400"/>
        <n v="613600"/>
        <n v="496500"/>
        <n v="781500"/>
        <n v="878000"/>
        <n v="429800"/>
        <n v="337500"/>
        <n v="371200"/>
        <n v="206900"/>
        <n v="427200"/>
        <n v="398100"/>
        <n v="615000"/>
        <n v="27800"/>
        <n v="259400"/>
        <n v="333700"/>
        <n v="310000"/>
        <n v="130000"/>
        <n v="774400"/>
        <n v="470900"/>
        <n v="1210000"/>
        <n v="510900"/>
        <n v="100000"/>
        <n v="1102200"/>
        <n v="958500"/>
        <n v="38300"/>
        <n v="815800"/>
        <n v="347800"/>
        <n v="321200"/>
        <n v="757000"/>
        <n v="299200"/>
        <n v="345400"/>
        <n v="744100"/>
        <n v="513100"/>
        <n v="265000"/>
        <n v="699500"/>
        <n v="521300"/>
        <n v="645900"/>
        <n v="384200"/>
        <n v="156400"/>
        <n v="376400"/>
        <n v="520000"/>
        <n v="472300"/>
        <n v="127100"/>
        <n v="1561300"/>
        <n v="285300"/>
        <n v="230100"/>
        <n v="720000"/>
        <n v="1394300"/>
        <n v="214900"/>
        <n v="628400"/>
        <n v="102500"/>
        <n v="78700"/>
        <n v="87500"/>
        <n v="330700"/>
        <n v="161750"/>
        <n v="3316"/>
        <n v="1036"/>
        <n v="356100"/>
        <n v="61000"/>
        <n v="1915"/>
        <n v="350"/>
        <n v="126100"/>
        <n v="148500"/>
        <n v="5569"/>
        <n v="60600"/>
        <n v="2777250"/>
        <n v="1956"/>
        <n v="317800"/>
        <n v="325000"/>
        <n v="3895"/>
        <n v="245500"/>
        <n v="391500"/>
        <n v="5182"/>
        <n v="485"/>
        <n v="378400"/>
        <n v="386000"/>
        <n v="4551"/>
        <n v="948"/>
        <n v="230700"/>
        <n v="387500"/>
        <n v="11175"/>
        <n v="304"/>
        <n v="5956"/>
        <n v="488"/>
        <n v="169500"/>
        <n v="112500"/>
      </sharedItems>
    </cacheField>
    <cacheField name="公司收入(K盾)" numFmtId="0">
      <sharedItems containsSemiMixedTypes="0" containsString="0" containsNumber="1" minValue="0" maxValue="20741.175" count="549">
        <n v="35.763"/>
        <n v="119.301"/>
        <n v="40.404"/>
        <n v="26.754"/>
        <n v="82.446"/>
        <n v="182.637"/>
        <n v="305.487"/>
        <n v="313.131"/>
        <n v="128.31"/>
        <n v="935.571"/>
        <n v="120.939"/>
        <n v="1315.314"/>
        <n v="490.581"/>
        <n v="201.474"/>
        <n v="232.596"/>
        <n v="369.642"/>
        <n v="11.739"/>
        <n v="522.249"/>
        <n v="372.099"/>
        <n v="627.627"/>
        <n v="381.108"/>
        <n v="755.118"/>
        <n v="378.105"/>
        <n v="476.931"/>
        <n v="401.856"/>
        <n v="1503.411"/>
        <n v="346.983"/>
        <n v="253.071"/>
        <n v="668.85"/>
        <n v="1464.372"/>
        <n v="1725.087"/>
        <n v="675.675"/>
        <n v="2859.675"/>
        <n v="1925.196"/>
        <n v="1074.528"/>
        <n v="1117.116"/>
        <n v="1494.402"/>
        <n v="937.209"/>
        <n v="1633.086"/>
        <n v="1237.782"/>
        <n v="1924.104"/>
        <n v="690.69"/>
        <n v="1959.048"/>
        <n v="2996.448"/>
        <n v="1388.478"/>
        <n v="425.061"/>
        <n v="3328.962"/>
        <n v="1116.843"/>
        <n v="542.724"/>
        <n v="1010.373"/>
        <n v="2129.673"/>
        <n v="1356.537"/>
        <n v="1447.173"/>
        <n v="677.04"/>
        <n v="573.3"/>
        <n v="3032.484"/>
        <n v="1660.113"/>
        <n v="1164.891"/>
        <n v="657.111"/>
        <n v="2227.407"/>
        <n v="1143.324"/>
        <n v="1167.894"/>
        <n v="1371.552"/>
        <n v="1134.315"/>
        <n v="861.042"/>
        <n v="1024.569"/>
        <n v="1825.005"/>
        <n v="2690.688"/>
        <n v="1683.864"/>
        <n v="1395.03"/>
        <n v="1617.798"/>
        <n v="1076.166"/>
        <n v="708.708"/>
        <n v="407.862"/>
        <n v="434.889"/>
        <n v="468.468"/>
        <n v="1267.812"/>
        <n v="754.572"/>
        <n v="577.395"/>
        <n v="402.402"/>
        <n v="940.758"/>
        <n v="927.108"/>
        <n v="393.666"/>
        <n v="260.442"/>
        <n v="323.505"/>
        <n v="117.117"/>
        <n v="343.434"/>
        <n v="400.764"/>
        <n v="716.079"/>
        <n v="464.373"/>
        <n v="613.977"/>
        <n v="251.979"/>
        <n v="24.57"/>
        <n v="4.641"/>
        <n v="13.65"/>
        <n v="6.279"/>
        <n v="5.733"/>
        <n v="485.394"/>
        <n v="42.588"/>
        <n v="646.737"/>
        <n v="547.638"/>
        <n v="3053.778"/>
        <n v="1855.581"/>
        <n v="467.649"/>
        <n v="250.887"/>
        <n v="326.781"/>
        <n v="641.277"/>
        <n v="594.594"/>
        <n v="1571.115"/>
        <n v="488.397"/>
        <n v="2207.478"/>
        <n v="3305.757"/>
        <n v="1806.714"/>
        <n v="3577.938"/>
        <n v="2957.682"/>
        <n v="1588.041"/>
        <n v="3574.935"/>
        <n v="1480.479"/>
        <n v="2208.024"/>
        <n v="1298.388"/>
        <n v="1224.951"/>
        <n v="1709.253"/>
        <n v="2484.3"/>
        <n v="1345.071"/>
        <n v="3292.38"/>
        <n v="4118.205"/>
        <n v="1400.217"/>
        <n v="3170.895"/>
        <n v="3381.105"/>
        <n v="2069.34"/>
        <n v="4664.751"/>
        <n v="1665.027"/>
        <n v="5487.027"/>
        <n v="4767.399"/>
        <n v="9687.132"/>
        <n v="5854.485"/>
        <n v="5963.139"/>
        <n v="1013.376"/>
        <n v="3516.24"/>
        <n v="3018.834"/>
        <n v="2545.179"/>
        <n v="4046.406"/>
        <n v="2763.852"/>
        <n v="555.282"/>
        <n v="2832.375"/>
        <n v="1313.949"/>
        <n v="1490.58"/>
        <n v="4388.748"/>
        <n v="2384.655"/>
        <n v="4422.6"/>
        <n v="8198.463"/>
        <n v="6638.268"/>
        <n v="8740.641"/>
        <n v="5309.031"/>
        <n v="4572.477"/>
        <n v="3236.415"/>
        <n v="3167.073"/>
        <n v="8699.691"/>
        <n v="4057.872"/>
        <n v="5911.269"/>
        <n v="3070.431"/>
        <n v="2935.296"/>
        <n v="4936.659"/>
        <n v="6690.684"/>
        <n v="5886.426"/>
        <n v="7100.457"/>
        <n v="9239.139"/>
        <n v="3164.889"/>
        <n v="10754.289"/>
        <n v="7683.039"/>
        <n v="5554.458"/>
        <n v="3433.521"/>
        <n v="5205.837"/>
        <n v="2813.265"/>
        <n v="5846.568"/>
        <n v="6571.929"/>
        <n v="3313.401"/>
        <n v="6434.883"/>
        <n v="3487.848"/>
        <n v="4393.935"/>
        <n v="3641.274"/>
        <n v="4033.575"/>
        <n v="6782.685"/>
        <n v="3558.282"/>
        <n v="4134.585"/>
        <n v="5245.968"/>
        <n v="1111.656"/>
        <n v="20741.175"/>
        <n v="2201.745"/>
        <n v="2822.001"/>
        <n v="1814.085"/>
        <n v="2754.843"/>
        <n v="2253.888"/>
        <n v="3358.446"/>
        <n v="5011.734"/>
        <n v="3963.141"/>
        <n v="1628.991"/>
        <n v="10859.667"/>
        <n v="136.773"/>
        <n v="262.353"/>
        <n v="436.527"/>
        <n v="767.403"/>
        <n v="282.009"/>
        <n v="680.316"/>
        <n v="303.03"/>
        <n v="639.912"/>
        <n v="307.398"/>
        <n v="1095.276"/>
        <n v="738.465"/>
        <n v="228.501"/>
        <n v="449.631"/>
        <n v="431.34"/>
        <n v="611.793"/>
        <n v="1316.952"/>
        <n v="2096.094"/>
        <n v="1831.011"/>
        <n v="1450.449"/>
        <n v="1008.189"/>
        <n v="6585.852"/>
        <n v="1383.564"/>
        <n v="2215.395"/>
        <n v="1415.778"/>
        <n v="3782.142"/>
        <n v="716.352"/>
        <n v="1562.925"/>
        <n v="2339.883"/>
        <n v="5135.403"/>
        <n v="4539.99"/>
        <n v="2985.801"/>
        <n v="2068.794"/>
        <n v="1478.022"/>
        <n v="694.239"/>
        <n v="857.493"/>
        <n v="753.48"/>
        <n v="3341.247"/>
        <n v="1380.015"/>
        <n v="1411.41"/>
        <n v="1815.45"/>
        <n v="2190.825"/>
        <n v="4595.955"/>
        <n v="3039.582"/>
        <n v="876.603"/>
        <n v="2873.052"/>
        <n v="6028.113"/>
        <n v="4578.483"/>
        <n v="4418.505"/>
        <n v="6067.152"/>
        <n v="7736.547"/>
        <n v="4083.807"/>
        <n v="2326.233"/>
        <n v="7821.996"/>
        <n v="4589.676"/>
        <n v="8578.479"/>
        <n v="3374.826"/>
        <n v="2766.855"/>
        <n v="3722.082"/>
        <n v="2492.49"/>
        <n v="2063.607"/>
        <n v="2056.509"/>
        <n v="2684.409"/>
        <n v="2706.522"/>
        <n v="5327.049"/>
        <n v="1734.642"/>
        <n v="2260.167"/>
        <n v="2000.544"/>
        <n v="2271.633"/>
        <n v="3695.874"/>
        <n v="2775.318"/>
        <n v="1731.639"/>
        <n v="3069.612"/>
        <n v="2399.124"/>
        <n v="4226.586"/>
        <n v="20281.716"/>
        <n v="4720.443"/>
        <n v="1552.824"/>
        <n v="1779.96"/>
        <n v="708.435"/>
        <n v="906.087"/>
        <n v="1191.099"/>
        <n v="534.261"/>
        <n v="1317.771"/>
        <n v="996.177"/>
        <n v="1132.677"/>
        <n v="1046.955"/>
        <n v="510.51"/>
        <n v="414.687"/>
        <n v="388.206"/>
        <n v="248.703"/>
        <n v="426.153"/>
        <n v="313.95"/>
        <n v="222.768"/>
        <n v="380.562"/>
        <n v="473.109"/>
        <n v="223.86"/>
        <n v="206.661"/>
        <n v="1131.858"/>
        <n v="837.018"/>
        <n v="450.45"/>
        <n v="437.073"/>
        <n v="905.814"/>
        <n v="446.628"/>
        <n v="199.017"/>
        <n v="75.894"/>
        <n v="172.536"/>
        <n v="80.262"/>
        <n v="387.387"/>
        <n v="119.574"/>
        <n v="91.455"/>
        <n v="76.713"/>
        <n v="155.064"/>
        <n v="127.218"/>
        <n v="26.481"/>
        <n v="266.175"/>
        <n v="208.572"/>
        <n v="47.502"/>
        <n v="419.601"/>
        <n v="170.625"/>
        <n v="89.271"/>
        <n v="87.633"/>
        <n v="168.714"/>
        <n v="116.298"/>
        <n v="142.506"/>
        <n v="285.012"/>
        <n v="73.71"/>
        <n v="213.759"/>
        <n v="311.493"/>
        <n v="22"/>
        <n v="109"/>
        <n v="44"/>
        <n v="327"/>
        <n v="491"/>
        <n v="1056"/>
        <n v="2438"/>
        <n v="14507"/>
        <n v="6674"/>
        <n v="285"/>
        <n v="9170"/>
        <n v="5967"/>
        <n v="3298"/>
        <n v="4043"/>
        <n v="5804"/>
        <n v="2498"/>
        <n v="2899"/>
        <n v="10738"/>
        <n v="3988"/>
        <n v="4335"/>
        <n v="9516"/>
        <n v="2676"/>
        <n v="10092"/>
        <n v="4773"/>
        <n v="3634"/>
        <n v="2499"/>
        <n v="4918"/>
        <n v="2616"/>
        <n v="1122"/>
        <n v="1620"/>
        <n v="1338"/>
        <n v="12744"/>
        <n v="2272"/>
        <n v="2094"/>
        <n v="2532"/>
        <n v="1412"/>
        <n v="809"/>
        <n v="3140"/>
        <n v="3925"/>
        <n v="3750"/>
        <n v="10647"/>
        <n v="5753"/>
        <n v="1303"/>
        <n v="100"/>
        <n v="1200"/>
        <n v="3256"/>
        <n v="2012"/>
        <n v="12357"/>
        <n v="5572"/>
        <n v="2655"/>
        <n v="1315"/>
        <n v="3557"/>
        <n v="14059"/>
        <n v="2212"/>
        <n v="3145"/>
        <n v="3373"/>
        <n v="2160"/>
        <n v="474"/>
        <n v="690"/>
        <n v="3929"/>
        <n v="18705"/>
        <n v="10451"/>
        <n v="2896"/>
        <n v="2580"/>
        <n v="382"/>
        <n v="14632"/>
        <n v="2917"/>
        <n v="5355"/>
        <n v="2512"/>
        <n v="1707"/>
        <n v="13168"/>
        <n v="1309"/>
        <n v="69"/>
        <n v="1872"/>
        <n v="10722"/>
        <n v="50"/>
        <n v="626"/>
        <n v="138"/>
        <n v="131"/>
        <n v="289"/>
        <n v="2570"/>
        <n v="9271"/>
        <n v="7937"/>
        <n v="8270"/>
        <n v="5929"/>
        <n v="2047"/>
        <n v="7479"/>
        <n v="9583"/>
        <n v="4111"/>
        <n v="6834"/>
        <n v="4701"/>
        <n v="5134"/>
        <n v="4516"/>
        <n v="7212"/>
        <n v="6754"/>
        <n v="11783"/>
        <n v="8224"/>
        <n v="6136"/>
        <n v="4965"/>
        <n v="7815"/>
        <n v="8780"/>
        <n v="4298"/>
        <n v="3375"/>
        <n v="3712"/>
        <n v="2069"/>
        <n v="4272"/>
        <n v="3981"/>
        <n v="6150"/>
        <n v="278"/>
        <n v="2594"/>
        <n v="3337"/>
        <n v="3100"/>
        <n v="1300"/>
        <n v="7744"/>
        <n v="4050"/>
        <n v="4709"/>
        <n v="12100"/>
        <n v="5109"/>
        <n v="6450"/>
        <n v="1000"/>
        <n v="11022"/>
        <n v="9585"/>
        <n v="383"/>
        <n v="8158"/>
        <n v="3478"/>
        <n v="3212"/>
        <n v="7570"/>
        <n v="2992"/>
        <n v="3454"/>
        <n v="7441"/>
        <n v="5131"/>
        <n v="2650"/>
        <n v="6995"/>
        <n v="5213"/>
        <n v="6459"/>
        <n v="3842"/>
        <n v="1564"/>
        <n v="3764"/>
        <n v="5200"/>
        <n v="4723"/>
        <n v="1271"/>
        <n v="15613"/>
        <n v="2853"/>
        <n v="2301"/>
        <n v="7200"/>
        <n v="13943"/>
        <n v="2149"/>
        <n v="6284"/>
        <n v="1025"/>
        <n v="787"/>
        <n v="875"/>
        <n v="0"/>
        <n v="3307"/>
        <n v="647"/>
        <n v="243.516"/>
        <n v="251.16"/>
        <n v="297.024"/>
        <n v="862.953"/>
        <n v="3621.891"/>
        <n v="1132.131"/>
        <n v="3561"/>
        <n v="244"/>
        <n v="266.721"/>
        <n v="410.046"/>
        <n v="496.041"/>
        <n v="737.646"/>
        <n v="2058.147"/>
        <n v="2091.453"/>
        <n v="382.473"/>
        <n v="1261"/>
        <n v="594"/>
        <n v="452.907"/>
        <n v="100.737"/>
        <n v="701.337"/>
        <n v="593.775"/>
        <n v="1541.085"/>
        <n v="6081.621"/>
        <n v="606"/>
        <n v="11109"/>
        <n v="271.635"/>
        <n v="165.165"/>
        <n v="391.482"/>
        <n v="1801.527"/>
        <n v="2136.225"/>
        <n v="3178"/>
        <n v="190.827"/>
        <n v="351.078"/>
        <n v="421.785"/>
        <n v="2427.789"/>
        <n v="4253.613"/>
        <n v="2455"/>
        <n v="1566"/>
        <n v="63.063"/>
        <n v="245.154"/>
        <n v="466.83"/>
        <n v="3014.466"/>
        <n v="5659.563"/>
        <n v="529.893"/>
        <n v="3784"/>
        <n v="1544"/>
        <n v="174.447"/>
        <n v="191.1"/>
        <n v="352.17"/>
        <n v="8749.377"/>
        <n v="4970.511"/>
        <n v="1035.216"/>
        <n v="2307"/>
        <n v="1550"/>
        <n v="85.722"/>
        <n v="158.34"/>
        <n v="490.308"/>
        <n v="469.833"/>
        <n v="12203.646"/>
        <n v="332.241"/>
        <n v="98.553"/>
        <n v="40.131"/>
        <n v="75.075"/>
        <n v="345.618"/>
        <n v="3676.764"/>
        <n v="6504.225"/>
        <n v="532.896"/>
        <n v="1695"/>
        <n v="450"/>
      </sharedItems>
    </cacheField>
    <cacheField name="主播收入(K盾)" numFmtId="43">
      <sharedItems containsSemiMixedTypes="0" containsString="0" containsNumber="1" minValue="0" maxValue="5185.089" count="380">
        <n v="8.736"/>
        <n v="29.757"/>
        <n v="10.101"/>
        <n v="6.552"/>
        <n v="20.475"/>
        <n v="45.591"/>
        <n v="76.167"/>
        <n v="78.078"/>
        <n v="31.941"/>
        <n v="233.688"/>
        <n v="30.03"/>
        <n v="328.692"/>
        <n v="122.577"/>
        <n v="50.232"/>
        <n v="58.149"/>
        <n v="92.274"/>
        <n v="2.73"/>
        <n v="130.494"/>
        <n v="92.82"/>
        <n v="156.702"/>
        <n v="95.277"/>
        <n v="188.643"/>
        <n v="94.458"/>
        <n v="119.028"/>
        <n v="100.464"/>
        <n v="375.648"/>
        <n v="86.541"/>
        <n v="63.063"/>
        <n v="167.076"/>
        <n v="366.093"/>
        <n v="431.067"/>
        <n v="168.714"/>
        <n v="714.714"/>
        <n v="481.299"/>
        <n v="268.632"/>
        <n v="279.279"/>
        <n v="373.464"/>
        <n v="234.234"/>
        <n v="408.135"/>
        <n v="309.309"/>
        <n v="481.026"/>
        <n v="172.536"/>
        <n v="489.762"/>
        <n v="749.112"/>
        <n v="346.983"/>
        <n v="106.197"/>
        <n v="832.104"/>
        <n v="279.006"/>
        <n v="135.681"/>
        <n v="252.525"/>
        <n v="532.35"/>
        <n v="339.066"/>
        <n v="361.725"/>
        <n v="169.26"/>
        <n v="143.325"/>
        <n v="758.121"/>
        <n v="414.96"/>
        <n v="291.018"/>
        <n v="164.073"/>
        <n v="556.647"/>
        <n v="285.831"/>
        <n v="291.837"/>
        <n v="342.888"/>
        <n v="283.374"/>
        <n v="215.124"/>
        <n v="256.074"/>
        <n v="456.183"/>
        <n v="672.672"/>
        <n v="420.966"/>
        <n v="348.621"/>
        <n v="404.313"/>
        <n v="268.905"/>
        <n v="177.177"/>
        <n v="101.829"/>
        <n v="108.654"/>
        <n v="117.117"/>
        <n v="316.953"/>
        <n v="144.144"/>
        <n v="235.053"/>
        <n v="231.777"/>
        <n v="98.28"/>
        <n v="64.974"/>
        <n v="80.808"/>
        <n v="29.211"/>
        <n v="85.722"/>
        <n v="100.191"/>
        <n v="178.815"/>
        <n v="116.025"/>
        <n v="153.426"/>
        <n v="62.79"/>
        <n v="6.006"/>
        <n v="1.092"/>
        <n v="3.276"/>
        <n v="1.365"/>
        <n v="121.212"/>
        <n v="10.647"/>
        <n v="161.616"/>
        <n v="136.773"/>
        <n v="763.308"/>
        <n v="463.827"/>
        <n v="116.844"/>
        <n v="62.517"/>
        <n v="81.627"/>
        <n v="160.251"/>
        <n v="148.512"/>
        <n v="392.574"/>
        <n v="122.031"/>
        <n v="551.733"/>
        <n v="826.371"/>
        <n v="451.542"/>
        <n v="894.348"/>
        <n v="739.284"/>
        <n v="396.942"/>
        <n v="893.529"/>
        <n v="369.915"/>
        <n v="552.006"/>
        <n v="324.597"/>
        <n v="306.033"/>
        <n v="427.245"/>
        <n v="621.075"/>
        <n v="336.063"/>
        <n v="823.095"/>
        <n v="1029.483"/>
        <n v="349.986"/>
        <n v="792.519"/>
        <n v="845.208"/>
        <n v="517.335"/>
        <n v="1165.983"/>
        <n v="416.052"/>
        <n v="1371.552"/>
        <n v="1191.645"/>
        <n v="2421.783"/>
        <n v="1463.553"/>
        <n v="1490.58"/>
        <n v="253.344"/>
        <n v="879.06"/>
        <n v="754.572"/>
        <n v="636.09"/>
        <n v="1011.465"/>
        <n v="690.963"/>
        <n v="138.684"/>
        <n v="707.889"/>
        <n v="328.419"/>
        <n v="372.645"/>
        <n v="1097.187"/>
        <n v="595.959"/>
        <n v="1105.65"/>
        <n v="2049.411"/>
        <n v="1659.567"/>
        <n v="2185.092"/>
        <n v="1327.053"/>
        <n v="1143.051"/>
        <n v="808.899"/>
        <n v="791.7"/>
        <n v="2174.718"/>
        <n v="1014.468"/>
        <n v="1477.749"/>
        <n v="767.403"/>
        <n v="733.824"/>
        <n v="1233.96"/>
        <n v="1672.671"/>
        <n v="1471.47"/>
        <n v="1775.046"/>
        <n v="2309.58"/>
        <n v="791.154"/>
        <n v="2688.504"/>
        <n v="1920.555"/>
        <n v="1388.478"/>
        <n v="858.312"/>
        <n v="1301.391"/>
        <n v="703.248"/>
        <n v="1461.642"/>
        <n v="1642.914"/>
        <n v="828.282"/>
        <n v="1608.516"/>
        <n v="871.962"/>
        <n v="1098.279"/>
        <n v="910.182"/>
        <n v="1008.189"/>
        <n v="1695.603"/>
        <n v="889.434"/>
        <n v="1033.578"/>
        <n v="1311.492"/>
        <n v="277.914"/>
        <n v="5185.089"/>
        <n v="550.368"/>
        <n v="705.432"/>
        <n v="453.453"/>
        <n v="688.506"/>
        <n v="563.472"/>
        <n v="839.475"/>
        <n v="1252.797"/>
        <n v="990.717"/>
        <n v="407.043"/>
        <n v="2714.712"/>
        <n v="0"/>
        <n v="5.5"/>
        <n v="27.25"/>
        <n v="11"/>
        <n v="81.75"/>
        <n v="122.75"/>
        <n v="264"/>
        <n v="609.5"/>
        <n v="3626.75"/>
        <n v="1668.5"/>
        <n v="71.25"/>
        <n v="2292.5"/>
        <n v="1491.75"/>
        <n v="824.5"/>
        <n v="1010.75"/>
        <n v="1451"/>
        <n v="624.5"/>
        <n v="724.75"/>
        <n v="2684.5"/>
        <n v="997"/>
        <n v="1083.75"/>
        <n v="2379"/>
        <n v="669"/>
        <n v="2523"/>
        <n v="1193.25"/>
        <n v="908.5"/>
        <n v="624.75"/>
        <n v="1229.5"/>
        <n v="654"/>
        <n v="280.5"/>
        <n v="405"/>
        <n v="334.5"/>
        <n v="3186"/>
        <n v="568"/>
        <n v="523.5"/>
        <n v="633"/>
        <n v="353"/>
        <n v="202.25"/>
        <n v="785"/>
        <n v="981.25"/>
        <n v="937.5"/>
        <n v="2661.75"/>
        <n v="1438.25"/>
        <n v="325.75"/>
        <n v="25"/>
        <n v="300"/>
        <n v="814"/>
        <n v="503"/>
        <n v="3089.25"/>
        <n v="1393"/>
        <n v="663.75"/>
        <n v="328.75"/>
        <n v="889.25"/>
        <n v="3514.75"/>
        <n v="553"/>
        <n v="786.25"/>
        <n v="843.25"/>
        <n v="540"/>
        <n v="118.5"/>
        <n v="172.5"/>
        <n v="982.25"/>
        <n v="4676.25"/>
        <n v="2612.75"/>
        <n v="724"/>
        <n v="645"/>
        <n v="95.5"/>
        <n v="3658"/>
        <n v="729.25"/>
        <n v="1338.75"/>
        <n v="628"/>
        <n v="426.75"/>
        <n v="3292"/>
        <n v="327.25"/>
        <n v="17.25"/>
        <n v="468"/>
        <n v="2680.5"/>
        <n v="5"/>
        <n v="62.6"/>
        <n v="4.4"/>
        <n v="13.8"/>
        <n v="10.9"/>
        <n v="13.1"/>
        <n v="28.9"/>
        <n v="257"/>
        <n v="927.1"/>
        <n v="793.7"/>
        <n v="827"/>
        <n v="592.9"/>
        <n v="204.7"/>
        <n v="747.9"/>
        <n v="958.3"/>
        <n v="411.1"/>
        <n v="683.4"/>
        <n v="470.1"/>
        <n v="513.4"/>
        <n v="451.6"/>
        <n v="721.2"/>
        <n v="675.4"/>
        <n v="1178.3"/>
        <n v="822.4"/>
        <n v="613.6"/>
        <n v="496.5"/>
        <n v="781.5"/>
        <n v="878"/>
        <n v="429.8"/>
        <n v="337.5"/>
        <n v="371.2"/>
        <n v="206.9"/>
        <n v="427.2"/>
        <n v="398.1"/>
        <n v="615"/>
        <n v="27.8"/>
        <n v="259.4"/>
        <n v="333.7"/>
        <n v="310"/>
        <n v="130"/>
        <n v="774.4"/>
        <n v="470.9"/>
        <n v="1210"/>
        <n v="510.9"/>
        <n v="100"/>
        <n v="1102.2"/>
        <n v="958.5"/>
        <n v="38.3"/>
        <n v="815.8"/>
        <n v="347.8"/>
        <n v="321.2"/>
        <n v="757"/>
        <n v="299.2"/>
        <n v="345.4"/>
        <n v="744.1"/>
        <n v="513.1"/>
        <n v="265"/>
        <n v="699.5"/>
        <n v="521.3"/>
        <n v="645.9"/>
        <n v="384.2"/>
        <n v="156.4"/>
        <n v="376.4"/>
        <n v="520"/>
        <n v="472.3"/>
        <n v="127.1"/>
        <n v="1561.3"/>
        <n v="285.3"/>
        <n v="230.1"/>
        <n v="720"/>
        <n v="1394.3"/>
        <n v="214.9"/>
        <n v="628.4"/>
        <n v="102.5"/>
        <n v="78.7"/>
        <n v="87.5"/>
        <n v="330.7"/>
        <n v="161.75"/>
        <n v="905.268"/>
        <n v="282.828"/>
        <n v="356.1"/>
        <n v="61"/>
        <n v="522.795"/>
        <n v="95.55"/>
        <n v="126.1"/>
        <n v="148.5"/>
        <n v="1520.337"/>
        <n v="60.6"/>
        <n v="2777.25"/>
        <n v="533.988"/>
        <n v="317.8"/>
        <n v="325"/>
        <n v="1063.335"/>
        <n v="245.5"/>
        <n v="391.5"/>
        <n v="1414.686"/>
        <n v="132.405"/>
        <n v="378.4"/>
        <n v="386"/>
        <n v="1242.423"/>
        <n v="258.804"/>
        <n v="230.7"/>
        <n v="387.5"/>
        <n v="3050.775"/>
        <n v="82.992"/>
        <n v="1625.988"/>
        <n v="133.224"/>
        <n v="169.5"/>
        <n v="112.5"/>
      </sharedItems>
    </cacheField>
    <cacheField name="月份" numFmtId="0">
      <sharedItems count="5">
        <s v="202512"/>
        <s v="202601"/>
        <s v="202602"/>
        <s v="202603"/>
        <s v="20260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1.9286111111" refreshedBy="Patton" recordCount="555">
  <cacheSource type="worksheet">
    <worksheetSource ref="A3:J558" sheet="直播数据"/>
  </cacheSource>
  <cacheFields count="10">
    <cacheField name="主播" numFmtId="0">
      <sharedItems count="7">
        <s v="志青"/>
        <s v="阿贤"/>
        <s v="阿美"/>
        <s v="阿园"/>
        <s v="pink"/>
        <s v="peo"/>
        <s v="van"/>
      </sharedItems>
    </cacheField>
    <cacheField name="日期" numFmtId="58">
      <sharedItems containsSemiMixedTypes="0" containsString="0" containsNonDate="0" containsDate="1" minDate="2025-11-21T00:00:00" maxDate="2026-04-18T00:00:00" count="138">
        <d v="2025-11-21T00:00:00"/>
        <d v="2025-11-22T00:00:00"/>
        <d v="2025-11-23T00:00:00"/>
        <d v="2025-11-24T00:00:00"/>
        <d v="2025-11-26T00:00:00"/>
        <d v="2025-12-01T00:00:00"/>
        <d v="2025-12-02T00:00:00"/>
        <d v="2025-12-03T00:00:00"/>
        <d v="2025-12-04T00:00:00"/>
        <d v="2025-12-05T00:00:00"/>
        <d v="2025-12-07T00:00:00"/>
        <d v="2025-12-08T00:00:00"/>
        <d v="2025-12-09T00:00:00"/>
        <d v="2025-12-10T00:00:00"/>
        <d v="2025-12-11T00:00:00"/>
        <d v="2025-12-13T00:00:00"/>
        <d v="2025-12-14T00:00:00"/>
        <d v="2025-12-16T00:00:00"/>
        <d v="2025-12-17T00:00:00"/>
        <d v="2025-12-18T00:00:00"/>
        <d v="2025-12-19T00:00:00"/>
        <d v="2025-12-20T00:00:00"/>
        <d v="2025-12-21T00:00:00"/>
        <d v="2025-12-23T00:00:00"/>
        <d v="2025-12-24T00:00:00"/>
        <d v="2025-12-25T00:00:00"/>
        <d v="2025-12-26T00:00:00"/>
        <d v="2025-12-27T00:00:00"/>
        <d v="2025-12-28T00:00:00"/>
        <d v="2025-12-30T00:00:00"/>
        <d v="2026-01-01T00:00:00"/>
        <d v="2026-01-02T00:00:00"/>
        <d v="2026-01-03T00:00:00"/>
        <d v="2026-01-04T00:00:00"/>
        <d v="2026-01-06T00:00:00"/>
        <d v="2026-01-07T00:00:00"/>
        <d v="2026-01-08T00:00:00"/>
        <d v="2026-01-09T00:00:00"/>
        <d v="2026-01-10T00:00:00"/>
        <d v="2026-01-13T00:00:00"/>
        <d v="2026-01-14T00:00:00"/>
        <d v="2026-01-15T00:00:00"/>
        <d v="2026-01-16T00:00:00"/>
        <d v="2026-01-17T00:00:00"/>
        <d v="2026-01-20T00:00:00"/>
        <d v="2026-01-21T00:00:00"/>
        <d v="2026-01-22T00:00:00"/>
        <d v="2026-01-23T00:00:00"/>
        <d v="2026-01-24T00:00:00"/>
        <d v="2026-01-27T00:00:00"/>
        <d v="2026-01-28T00:00:00"/>
        <d v="2026-01-30T00:00:00"/>
        <d v="2026-01-31T00:00:00"/>
        <d v="2026-02-01T00:00:00"/>
        <d v="2026-02-03T00:00:00"/>
        <d v="2026-02-04T00:00:00"/>
        <d v="2026-02-05T00:00:00"/>
        <d v="2026-02-06T00:00:00"/>
        <d v="2026-02-07T00:00:00"/>
        <d v="2026-02-08T00:00:00"/>
        <d v="2026-02-10T00:00:00"/>
        <d v="2026-02-11T00:00:00"/>
        <d v="2026-02-12T00:00:00"/>
        <d v="2026-02-19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6T00:00:00"/>
        <d v="2026-03-07T00:00:00"/>
        <d v="2026-03-08T00:00:00"/>
        <d v="2026-03-10T00:00:00"/>
        <d v="2026-03-11T00:00:00"/>
        <d v="2026-03-12T00:00:00"/>
        <d v="2026-03-13T00:00:00"/>
        <d v="2026-03-14T00:00:00"/>
        <d v="2026-03-15T00:00:00"/>
        <d v="2026-03-18T00:00:00"/>
        <d v="2026-03-19T00:00:00"/>
        <d v="2026-03-21T00:00:00"/>
        <d v="2026-03-22T00:00:00"/>
        <d v="2026-03-24T00:00:00"/>
        <d v="2026-03-25T00:00:00"/>
        <d v="2026-03-27T00:00:00"/>
        <d v="2026-03-28T00:00:00"/>
        <d v="2026-03-29T00:00:00"/>
        <d v="2026-03-31T00:00:00"/>
        <d v="2026-04-01T00:00:00"/>
        <d v="2026-04-02T00:00:00"/>
        <d v="2026-04-04T00:00:00"/>
        <d v="2026-04-05T00:00:00"/>
        <d v="2026-04-07T00:00:00"/>
        <d v="2026-04-08T00:00:00"/>
        <d v="2026-04-09T00:00:00"/>
        <d v="2026-04-10T00:00:00"/>
        <d v="2026-04-15T00:00:00"/>
        <d v="2026-04-16T00:00:00"/>
        <d v="2026-04-17T00:00:00"/>
        <d v="2026-04-18T00:00:00"/>
        <d v="2025-12-06T00:00:00"/>
        <d v="2025-12-31T00:00:00"/>
        <d v="2026-01-11T00:00:00"/>
        <d v="2026-01-18T00:00:00"/>
        <d v="2026-01-25T00:00:00"/>
        <d v="2026-01-29T00:00:00"/>
        <d v="2026-02-13T00:00:00"/>
        <d v="2026-02-15T00:00:00"/>
        <d v="2026-02-16T00:00:00"/>
        <d v="2026-03-03T00:00:00"/>
        <d v="2026-03-04T00:00:00"/>
        <d v="2026-03-05T00:00:00"/>
        <d v="2026-03-17T00:00:00"/>
        <d v="2026-03-20T00:00:00"/>
        <d v="2026-03-26T00:00:00"/>
        <d v="2026-03-30T00:00:00"/>
        <d v="2026-04-03T00:00:00"/>
        <d v="2026-04-06T00:00:00"/>
        <d v="2026-04-11T00:00:00"/>
        <d v="2026-04-12T00:00:00"/>
        <d v="2026-04-13T00:00:00"/>
        <d v="2026-04-14T00:00:00"/>
        <d v="2026-01-05T00:00:00"/>
        <d v="2026-01-12T00:00:00"/>
        <d v="2026-01-19T00:00:00"/>
        <d v="2026-01-26T00:00:00"/>
        <d v="2026-02-02T00:00:00"/>
        <d v="2026-02-09T00:00:00"/>
        <d v="2026-02-17T00:00:00"/>
        <d v="2026-02-20T00:00:00"/>
        <d v="2026-02-21T00:00:00"/>
        <d v="2026-03-02T00:00:00"/>
        <d v="2026-03-09T00:00:00"/>
        <d v="2026-03-16T00:00:00"/>
        <d v="2026-03-23T00:00:00"/>
      </sharedItems>
    </cacheField>
    <cacheField name="场次" numFmtId="179">
      <sharedItems containsSemiMixedTypes="0" containsString="0" containsNumber="1" containsInteger="1" minValue="1" maxValue="3" count="3">
        <n v="1"/>
        <n v="2"/>
        <n v="3"/>
      </sharedItems>
    </cacheField>
    <cacheField name="点赞量" numFmtId="0">
      <sharedItems containsSemiMixedTypes="0" containsString="0" containsNumber="1" containsInteger="1" minValue="4958" maxValue="7100000" count="316">
        <n v="41000"/>
        <n v="30300"/>
        <n v="34700"/>
        <n v="89300"/>
        <n v="30700"/>
        <n v="77500"/>
        <n v="84400"/>
        <n v="80500"/>
        <n v="74700"/>
        <n v="130700"/>
        <n v="80900"/>
        <n v="57400"/>
        <n v="126600"/>
        <n v="162900"/>
        <n v="1100000"/>
        <n v="896200"/>
        <n v="757400"/>
        <n v="680000"/>
        <n v="272200"/>
        <n v="966500"/>
        <n v="325300"/>
        <n v="626300"/>
        <n v="448300"/>
        <n v="1500000"/>
        <n v="564100"/>
        <n v="549800"/>
        <n v="2700000"/>
        <n v="57700"/>
        <n v="813900"/>
        <n v="1000000"/>
        <n v="849900"/>
        <n v="1300000"/>
        <n v="1400000"/>
        <n v="843600"/>
        <n v="945500"/>
        <n v="1600000"/>
        <n v="1200000"/>
        <n v="633800"/>
        <n v="431900"/>
        <n v="1700000"/>
        <n v="756400"/>
        <n v="4700000"/>
        <n v="3400000"/>
        <n v="862100"/>
        <n v="4000000"/>
        <n v="535800"/>
        <n v="901300"/>
        <n v="947500"/>
        <n v="738600"/>
        <n v="994600"/>
        <n v="945200"/>
        <n v="820500"/>
        <n v="563900"/>
        <n v="776400"/>
        <n v="566300"/>
        <n v="542000"/>
        <n v="804300"/>
        <n v="476100"/>
        <n v="468800"/>
        <n v="405900"/>
        <n v="778500"/>
        <n v="251900"/>
        <n v="464100"/>
        <n v="526700"/>
        <n v="613600"/>
        <n v="466500"/>
        <n v="526900"/>
        <n v="425600"/>
        <n v="472700"/>
        <n v="433200"/>
        <n v="494000"/>
        <n v="536900"/>
        <n v="17600"/>
        <n v="21600"/>
        <n v="40600"/>
        <n v="49100"/>
        <n v="38500"/>
        <n v="251800"/>
        <n v="257400"/>
        <n v="109900"/>
        <n v="324500"/>
        <n v="139400"/>
        <n v="707000"/>
        <n v="531100"/>
        <n v="237800"/>
        <n v="2000000"/>
        <n v="405600"/>
        <n v="203800"/>
        <n v="312100"/>
        <n v="419900"/>
        <n v="328100"/>
        <n v="417900"/>
        <n v="871000"/>
        <n v="613700"/>
        <n v="671400"/>
        <n v="331500"/>
        <n v="356700"/>
        <n v="684400"/>
        <n v="455900"/>
        <n v="2400000"/>
        <n v="889200"/>
        <n v="418500"/>
        <n v="495300"/>
        <n v="779600"/>
        <n v="682900"/>
        <n v="982600"/>
        <n v="847900"/>
        <n v="681300"/>
        <n v="599100"/>
        <n v="771300"/>
        <n v="3500000"/>
        <n v="1900000"/>
        <n v="1800000"/>
        <n v="2900000"/>
        <n v="259600"/>
        <n v="2200000"/>
        <n v="2100000"/>
        <n v="4300000"/>
        <n v="3200000"/>
        <n v="3000000"/>
        <n v="2800000"/>
        <n v="3100000"/>
        <n v="3300000"/>
        <n v="2500000"/>
        <n v="2600000"/>
        <n v="2300000"/>
        <n v="373900"/>
        <n v="552100"/>
        <n v="7100000"/>
        <n v="4500000"/>
        <n v="955200"/>
        <n v="912200"/>
        <n v="897200"/>
        <n v="845900"/>
        <n v="201700"/>
        <n v="223700"/>
        <n v="397300"/>
        <n v="792700"/>
        <n v="369700"/>
        <n v="340100"/>
        <n v="274100"/>
        <n v="341400"/>
        <n v="444600"/>
        <n v="428600"/>
        <n v="79600"/>
        <n v="672100"/>
        <n v="361200"/>
        <n v="248500"/>
        <n v="308400"/>
        <n v="475300"/>
        <n v="458700"/>
        <n v="283500"/>
        <n v="284600"/>
        <n v="268300"/>
        <n v="229600"/>
        <n v="280800"/>
        <n v="261600"/>
        <n v="235400"/>
        <n v="240800"/>
        <n v="438400"/>
        <n v="330300"/>
        <n v="347600"/>
        <n v="352200"/>
        <n v="517100"/>
        <n v="252600"/>
        <n v="605200"/>
        <n v="276700"/>
        <n v="322900"/>
        <n v="445900"/>
        <n v="388100"/>
        <n v="507300"/>
        <n v="631900"/>
        <n v="468100"/>
        <n v="457900"/>
        <n v="461900"/>
        <n v="376400"/>
        <n v="355300"/>
        <n v="267600"/>
        <n v="639200"/>
        <n v="931300"/>
        <n v="577700"/>
        <n v="322100"/>
        <n v="340700"/>
        <n v="440000"/>
        <n v="316100"/>
        <n v="532000"/>
        <n v="336100"/>
        <n v="642900"/>
        <n v="710200"/>
        <n v="488600"/>
        <n v="416800"/>
        <n v="518400"/>
        <n v="713200"/>
        <n v="833330"/>
        <n v="849300"/>
        <n v="544100"/>
        <n v="550500"/>
        <n v="570600"/>
        <n v="611700"/>
        <n v="720900"/>
        <n v="751900"/>
        <n v="518600"/>
        <n v="883000"/>
        <n v="676500"/>
        <n v="828100"/>
        <n v="650800"/>
        <n v="802600"/>
        <n v="604400"/>
        <n v="734600"/>
        <n v="637100"/>
        <n v="608700"/>
        <n v="887700"/>
        <n v="772300"/>
        <n v="553400"/>
        <n v="372200"/>
        <n v="602200"/>
        <n v="530100"/>
        <n v="566600"/>
        <n v="316000"/>
        <n v="635200"/>
        <n v="530300"/>
        <n v="523300"/>
        <n v="577900"/>
        <n v="509500"/>
        <n v="365300"/>
        <n v="394600"/>
        <n v="613900"/>
        <n v="826400"/>
        <n v="624600"/>
        <n v="324200"/>
        <n v="623300"/>
        <n v="515000"/>
        <n v="605800"/>
        <n v="482300"/>
        <n v="658000"/>
        <n v="435800"/>
        <n v="393800"/>
        <n v="478800"/>
        <n v="617700"/>
        <n v="618000"/>
        <n v="522800"/>
        <n v="591200"/>
        <n v="325200"/>
        <n v="407400"/>
        <n v="942300"/>
        <n v="538500"/>
        <n v="572400"/>
        <n v="4958"/>
        <n v="730300"/>
        <n v="145900"/>
        <n v="478900"/>
        <n v="756100"/>
        <n v="681800"/>
        <n v="684500"/>
        <n v="798200"/>
        <n v="687600"/>
        <n v="750200"/>
        <n v="111100"/>
        <n v="436600"/>
        <n v="358000"/>
        <n v="653900"/>
        <n v="525100"/>
        <n v="713500"/>
        <n v="395800"/>
        <n v="509700"/>
        <n v="101500"/>
        <n v="348600"/>
        <n v="293400"/>
        <n v="767100"/>
        <n v="380400"/>
        <n v="247900"/>
        <n v="246300"/>
        <n v="338400"/>
        <n v="206900"/>
        <n v="203400"/>
        <n v="163000"/>
        <n v="193900"/>
        <n v="225000"/>
        <n v="553800"/>
        <n v="211500"/>
        <n v="217600"/>
        <n v="263400"/>
        <n v="266800"/>
        <n v="233800"/>
        <n v="349900"/>
        <n v="388500"/>
        <n v="304800"/>
        <n v="306000"/>
        <n v="244700"/>
        <n v="226800"/>
        <n v="83000"/>
        <n v="80400"/>
        <n v="86200"/>
        <n v="76900"/>
        <n v="263100"/>
        <n v="146700"/>
        <n v="124900"/>
        <n v="127200"/>
        <n v="158500"/>
        <n v="120300"/>
        <n v="150800"/>
        <n v="106100"/>
        <n v="74400"/>
        <n v="180400"/>
        <n v="132700"/>
        <n v="106900"/>
        <n v="125600"/>
        <n v="122900"/>
        <n v="177900"/>
        <n v="160400"/>
        <n v="162300"/>
        <n v="117700"/>
        <n v="27800"/>
        <n v="151700"/>
        <n v="125200"/>
        <n v="69700"/>
      </sharedItems>
    </cacheField>
    <cacheField name="评论量" numFmtId="0">
      <sharedItems containsSemiMixedTypes="0" containsString="0" containsNumber="1" containsInteger="1" minValue="389" maxValue="72300" count="493">
        <n v="764"/>
        <n v="891"/>
        <n v="1577"/>
        <n v="1776"/>
        <n v="1250"/>
        <n v="2997"/>
        <n v="2516"/>
        <n v="2678"/>
        <n v="2287"/>
        <n v="2871"/>
        <n v="2494"/>
        <n v="1054"/>
        <n v="3379"/>
        <n v="3046"/>
        <n v="8278"/>
        <n v="3760"/>
        <n v="5350"/>
        <n v="8543"/>
        <n v="2224"/>
        <n v="5098"/>
        <n v="2384"/>
        <n v="6085"/>
        <n v="4494"/>
        <n v="8777"/>
        <n v="8672"/>
        <n v="6800"/>
        <n v="15300"/>
        <n v="898"/>
        <n v="6330"/>
        <n v="8578"/>
        <n v="8995"/>
        <n v="11000"/>
        <n v="6010"/>
        <n v="17300"/>
        <n v="12600"/>
        <n v="12700"/>
        <n v="6462"/>
        <n v="11800"/>
        <n v="10400"/>
        <n v="20400"/>
        <n v="17600"/>
        <n v="14900"/>
        <n v="14200"/>
        <n v="14500"/>
        <n v="21300"/>
        <n v="7739"/>
        <n v="6974"/>
        <n v="14100"/>
        <n v="16600"/>
        <n v="19200"/>
        <n v="20800"/>
        <n v="22000"/>
        <n v="14700"/>
        <n v="15200"/>
        <n v="28000"/>
        <n v="16300"/>
        <n v="17900"/>
        <n v="23300"/>
        <n v="18800"/>
        <n v="16400"/>
        <n v="17500"/>
        <n v="19900"/>
        <n v="22100"/>
        <n v="19000"/>
        <n v="12300"/>
        <n v="10200"/>
        <n v="11200"/>
        <n v="7833"/>
        <n v="9170"/>
        <n v="9704"/>
        <n v="8905"/>
        <n v="8796"/>
        <n v="21900"/>
        <n v="12800"/>
        <n v="10900"/>
        <n v="6746"/>
        <n v="9247"/>
        <n v="12900"/>
        <n v="10300"/>
        <n v="8233"/>
        <n v="7805"/>
        <n v="6473"/>
        <n v="7078"/>
        <n v="15800"/>
        <n v="8288"/>
        <n v="8299"/>
        <n v="6437"/>
        <n v="5809"/>
        <n v="7426"/>
        <n v="6908"/>
        <n v="5528"/>
        <n v="6624"/>
        <n v="6000"/>
        <n v="4466"/>
        <n v="4084"/>
        <n v="4213"/>
        <n v="4331"/>
        <n v="4783"/>
        <n v="5904"/>
        <n v="5334"/>
        <n v="887"/>
        <n v="1146"/>
        <n v="4380"/>
        <n v="2038"/>
        <n v="1998"/>
        <n v="3846"/>
        <n v="2801"/>
        <n v="1704"/>
        <n v="3903"/>
        <n v="2888"/>
        <n v="6929"/>
        <n v="4144"/>
        <n v="4944"/>
        <n v="10800"/>
        <n v="4737"/>
        <n v="5621"/>
        <n v="9298"/>
        <n v="3911"/>
        <n v="4449"/>
        <n v="5541"/>
        <n v="6868"/>
        <n v="11400"/>
        <n v="7144"/>
        <n v="4419"/>
        <n v="5715"/>
        <n v="6185"/>
        <n v="5945"/>
        <n v="10600"/>
        <n v="8068"/>
        <n v="5683"/>
        <n v="9220"/>
        <n v="9066"/>
        <n v="9195"/>
        <n v="9300"/>
        <n v="16200"/>
        <n v="5749"/>
        <n v="14000"/>
        <n v="33200"/>
        <n v="12400"/>
        <n v="13000"/>
        <n v="7242"/>
        <n v="20900"/>
        <n v="13500"/>
        <n v="28200"/>
        <n v="18600"/>
        <n v="17700"/>
        <n v="18200"/>
        <n v="19400"/>
        <n v="22700"/>
        <n v="8466"/>
        <n v="18900"/>
        <n v="39500"/>
        <n v="18000"/>
        <n v="20700"/>
        <n v="37600"/>
        <n v="29000"/>
        <n v="63400"/>
        <n v="34600"/>
        <n v="19300"/>
        <n v="24100"/>
        <n v="28600"/>
        <n v="30700"/>
        <n v="31800"/>
        <n v="35600"/>
        <n v="26200"/>
        <n v="39800"/>
        <n v="25800"/>
        <n v="22800"/>
        <n v="39400"/>
        <n v="17200"/>
        <n v="38000"/>
        <n v="30200"/>
        <n v="50900"/>
        <n v="51000"/>
        <n v="26800"/>
        <n v="31200"/>
        <n v="24300"/>
        <n v="27500"/>
        <n v="19500"/>
        <n v="26600"/>
        <n v="35700"/>
        <n v="39300"/>
        <n v="23500"/>
        <n v="33700"/>
        <n v="32900"/>
        <n v="31700"/>
        <n v="25000"/>
        <n v="24800"/>
        <n v="25600"/>
        <n v="18300"/>
        <n v="10100"/>
        <n v="29700"/>
        <n v="31900"/>
        <n v="35800"/>
        <n v="70100"/>
        <n v="17800"/>
        <n v="28400"/>
        <n v="9530"/>
        <n v="16800"/>
        <n v="17000"/>
        <n v="20300"/>
        <n v="16900"/>
        <n v="14400"/>
        <n v="16500"/>
        <n v="5327"/>
        <n v="15900"/>
        <n v="11300"/>
        <n v="13400"/>
        <n v="8886"/>
        <n v="28100"/>
        <n v="21700"/>
        <n v="9459"/>
        <n v="20100"/>
        <n v="15100"/>
        <n v="13100"/>
        <n v="14600"/>
        <n v="29400"/>
        <n v="21500"/>
        <n v="21800"/>
        <n v="32100"/>
        <n v="32800"/>
        <n v="21200"/>
        <n v="13200"/>
        <n v="23600"/>
        <n v="22400"/>
        <n v="13900"/>
        <n v="27000"/>
        <n v="24900"/>
        <n v="21400"/>
        <n v="25500"/>
        <n v="41600"/>
        <n v="13800"/>
        <n v="44000"/>
        <n v="72300"/>
        <n v="31100"/>
        <n v="9623"/>
        <n v="9304"/>
        <n v="8165"/>
        <n v="7276"/>
        <n v="8052"/>
        <n v="26100"/>
        <n v="14800"/>
        <n v="10700"/>
        <n v="8338"/>
        <n v="9514"/>
        <n v="7593"/>
        <n v="8659"/>
        <n v="7383"/>
        <n v="4319"/>
        <n v="7879"/>
        <n v="9403"/>
        <n v="9448"/>
        <n v="6063"/>
        <n v="7092"/>
        <n v="9817"/>
        <n v="6337"/>
        <n v="12100"/>
        <n v="15700"/>
        <n v="4372"/>
        <n v="12500"/>
        <n v="4251"/>
        <n v="3354"/>
        <n v="5390"/>
        <n v="8690"/>
        <n v="4112"/>
        <n v="2893"/>
        <n v="2770"/>
        <n v="3849"/>
        <n v="5043"/>
        <n v="5447"/>
        <n v="2054"/>
        <n v="8588"/>
        <n v="5265"/>
        <n v="3495"/>
        <n v="5378"/>
        <n v="4222"/>
        <n v="5776"/>
        <n v="4330"/>
        <n v="4899"/>
        <n v="3476"/>
        <n v="4579"/>
        <n v="3763"/>
        <n v="3192"/>
        <n v="2776"/>
        <n v="3265"/>
        <n v="4635"/>
        <n v="4157"/>
        <n v="3307"/>
        <n v="4357"/>
        <n v="6745"/>
        <n v="3176"/>
        <n v="4862"/>
        <n v="4603"/>
        <n v="5099"/>
        <n v="5155"/>
        <n v="4445"/>
        <n v="5576"/>
        <n v="6489"/>
        <n v="5643"/>
        <n v="3894"/>
        <n v="5291"/>
        <n v="5551"/>
        <n v="5688"/>
        <n v="2896"/>
        <n v="3581"/>
        <n v="4133"/>
        <n v="4124"/>
        <n v="4833"/>
        <n v="2241"/>
        <n v="2921"/>
        <n v="3246"/>
        <n v="4151"/>
        <n v="5135"/>
        <n v="3099"/>
        <n v="4426"/>
        <n v="3173"/>
        <n v="5382"/>
        <n v="3222"/>
        <n v="5423"/>
        <n v="4036"/>
        <n v="2408"/>
        <n v="5257"/>
        <n v="9328"/>
        <n v="4644"/>
        <n v="4366"/>
        <n v="3196"/>
        <n v="3736"/>
        <n v="4188"/>
        <n v="4257"/>
        <n v="5600"/>
        <n v="3336"/>
        <n v="6622"/>
        <n v="5110"/>
        <n v="9065"/>
        <n v="2881"/>
        <n v="6642"/>
        <n v="4922"/>
        <n v="5972"/>
        <n v="3459"/>
        <n v="6375"/>
        <n v="4248"/>
        <n v="9133"/>
        <n v="5209"/>
        <n v="7273"/>
        <n v="5594"/>
        <n v="9800"/>
        <n v="3404"/>
        <n v="8931"/>
        <n v="3920"/>
        <n v="6783"/>
        <n v="3650"/>
        <n v="4604"/>
        <n v="6904"/>
        <n v="3728"/>
        <n v="3376"/>
        <n v="3792"/>
        <n v="3593"/>
        <n v="4630"/>
        <n v="3068"/>
        <n v="3181"/>
        <n v="2677"/>
        <n v="4085"/>
        <n v="3480"/>
        <n v="5468"/>
        <n v="4217"/>
        <n v="4309"/>
        <n v="3076"/>
        <n v="6711"/>
        <n v="4446"/>
        <n v="5805"/>
        <n v="4275"/>
        <n v="3817"/>
        <n v="3448"/>
        <n v="4095"/>
        <n v="3299"/>
        <n v="4363"/>
        <n v="2664"/>
        <n v="2751"/>
        <n v="4633"/>
        <n v="4910"/>
        <n v="5736"/>
        <n v="4160"/>
        <n v="5158"/>
        <n v="6293"/>
        <n v="5696"/>
        <n v="38665"/>
        <n v="3292"/>
        <n v="5024"/>
        <n v="6182"/>
        <n v="2669"/>
        <n v="4203"/>
        <n v="5870"/>
        <n v="4525"/>
        <n v="4082"/>
        <n v="3720"/>
        <n v="5365"/>
        <n v="3202"/>
        <n v="5391"/>
        <n v="8434"/>
        <n v="7412"/>
        <n v="7546"/>
        <n v="993"/>
        <n v="4499"/>
        <n v="6949"/>
        <n v="4859"/>
        <n v="5642"/>
        <n v="5821"/>
        <n v="4804"/>
        <n v="5324"/>
        <n v="6805"/>
        <n v="5739"/>
        <n v="3587"/>
        <n v="3286"/>
        <n v="5512"/>
        <n v="2789"/>
        <n v="3712"/>
        <n v="4761"/>
        <n v="5850"/>
        <n v="3114"/>
        <n v="2719"/>
        <n v="2285"/>
        <n v="3435"/>
        <n v="2371"/>
        <n v="1420"/>
        <n v="2592"/>
        <n v="3117"/>
        <n v="4169"/>
        <n v="2387"/>
        <n v="3224"/>
        <n v="2068"/>
        <n v="2186"/>
        <n v="2849"/>
        <n v="3098"/>
        <n v="2030"/>
        <n v="2279"/>
        <n v="1743"/>
        <n v="2398"/>
        <n v="1614"/>
        <n v="1161"/>
        <n v="3643"/>
        <n v="3656"/>
        <n v="3029"/>
        <n v="4008"/>
        <n v="3337"/>
        <n v="3005"/>
        <n v="3604"/>
        <n v="3394"/>
        <n v="2381"/>
        <n v="1579"/>
        <n v="2686"/>
        <n v="1547"/>
        <n v="1583"/>
        <n v="2262"/>
        <n v="1809"/>
        <n v="1712"/>
        <n v="3365"/>
        <n v="4362"/>
        <n v="5385"/>
        <n v="3406"/>
        <n v="4774"/>
        <n v="5625"/>
        <n v="5515"/>
        <n v="1714"/>
        <n v="2164"/>
        <n v="3397"/>
        <n v="1664"/>
        <n v="806"/>
        <n v="693"/>
        <n v="822"/>
        <n v="1011"/>
        <n v="1069"/>
        <n v="832"/>
        <n v="977"/>
        <n v="785"/>
        <n v="1046"/>
        <n v="711"/>
        <n v="1179"/>
        <n v="537"/>
        <n v="389"/>
        <n v="1567"/>
        <n v="870"/>
        <n v="568"/>
        <n v="1486"/>
        <n v="1249"/>
        <n v="5294"/>
        <n v="2389"/>
        <n v="1648"/>
        <n v="1153"/>
        <n v="1241"/>
        <n v="932"/>
        <n v="1473"/>
        <n v="1015"/>
        <n v="543"/>
      </sharedItems>
    </cacheField>
    <cacheField name="粉丝平均观看时长" numFmtId="0">
      <sharedItems containsSemiMixedTypes="0" containsString="0" containsNumber="1" containsInteger="1" minValue="1" maxValue="51" count="48">
        <n v="11"/>
        <n v="12"/>
        <n v="15"/>
        <n v="16"/>
        <n v="14"/>
        <n v="23"/>
        <n v="18"/>
        <n v="17"/>
        <n v="20"/>
        <n v="24"/>
        <n v="26"/>
        <n v="28"/>
        <n v="5"/>
        <n v="27"/>
        <n v="32"/>
        <n v="35"/>
        <n v="30"/>
        <n v="29"/>
        <n v="31"/>
        <n v="41"/>
        <n v="25"/>
        <n v="38"/>
        <n v="39"/>
        <n v="44"/>
        <n v="48"/>
        <n v="42"/>
        <n v="46"/>
        <n v="40"/>
        <n v="45"/>
        <n v="36"/>
        <n v="34"/>
        <n v="22"/>
        <n v="13"/>
        <n v="21"/>
        <n v="19"/>
        <n v="43"/>
        <n v="37"/>
        <n v="33"/>
        <n v="47"/>
        <n v="9"/>
        <n v="51"/>
        <n v="4"/>
        <n v="8"/>
        <n v="7"/>
        <n v="2"/>
        <n v="3"/>
        <n v="10"/>
        <n v="1"/>
      </sharedItems>
    </cacheField>
    <cacheField name="涨粉" numFmtId="0">
      <sharedItems containsSemiMixedTypes="0" containsString="0" containsNumber="1" containsInteger="1" minValue="8" maxValue="2303" count="325">
        <n v="81"/>
        <n v="73"/>
        <n v="214"/>
        <n v="118"/>
        <n v="154"/>
        <n v="725"/>
        <n v="354"/>
        <n v="344"/>
        <n v="421"/>
        <n v="277"/>
        <n v="319"/>
        <n v="86"/>
        <n v="365"/>
        <n v="258"/>
        <n v="412"/>
        <n v="634"/>
        <n v="1122"/>
        <n v="969"/>
        <n v="577"/>
        <n v="488"/>
        <n v="1092"/>
        <n v="439"/>
        <n v="654"/>
        <n v="458"/>
        <n v="323"/>
        <n v="368"/>
        <n v="114"/>
        <n v="307"/>
        <n v="498"/>
        <n v="467"/>
        <n v="541"/>
        <n v="325"/>
        <n v="860"/>
        <n v="449"/>
        <n v="908"/>
        <n v="336"/>
        <n v="524"/>
        <n v="372"/>
        <n v="733"/>
        <n v="659"/>
        <n v="665"/>
        <n v="444"/>
        <n v="469"/>
        <n v="497"/>
        <n v="523"/>
        <n v="129"/>
        <n v="386"/>
        <n v="396"/>
        <n v="360"/>
        <n v="401"/>
        <n v="397"/>
        <n v="192"/>
        <n v="328"/>
        <n v="568"/>
        <n v="338"/>
        <n v="334"/>
        <n v="213"/>
        <n v="311"/>
        <n v="297"/>
        <n v="331"/>
        <n v="288"/>
        <n v="262"/>
        <n v="550"/>
        <n v="251"/>
        <n v="225"/>
        <n v="264"/>
        <n v="302"/>
        <n v="342"/>
        <n v="157"/>
        <n v="140"/>
        <n v="130"/>
        <n v="149"/>
        <n v="206"/>
        <n v="165"/>
        <n v="89"/>
        <n v="115"/>
        <n v="100"/>
        <n v="147"/>
        <n v="117"/>
        <n v="128"/>
        <n v="93"/>
        <n v="75"/>
        <n v="85"/>
        <n v="71"/>
        <n v="120"/>
        <n v="110"/>
        <n v="91"/>
        <n v="64"/>
        <n v="87"/>
        <n v="161"/>
        <n v="51"/>
        <n v="62"/>
        <n v="59"/>
        <n v="48"/>
        <n v="63"/>
        <n v="61"/>
        <n v="58"/>
        <n v="33"/>
        <n v="72"/>
        <n v="83"/>
        <n v="150"/>
        <n v="375"/>
        <n v="242"/>
        <n v="232"/>
        <n v="442"/>
        <n v="133"/>
        <n v="474"/>
        <n v="570"/>
        <n v="482"/>
        <n v="433"/>
        <n v="465"/>
        <n v="631"/>
        <n v="304"/>
        <n v="329"/>
        <n v="715"/>
        <n v="683"/>
        <n v="563"/>
        <n v="411"/>
        <n v="272"/>
        <n v="389"/>
        <n v="341"/>
        <n v="358"/>
        <n v="172"/>
        <n v="637"/>
        <n v="504"/>
        <n v="345"/>
        <n v="366"/>
        <n v="509"/>
        <n v="459"/>
        <n v="1227"/>
        <n v="705"/>
        <n v="604"/>
        <n v="1372"/>
        <n v="982"/>
        <n v="1141"/>
        <n v="602"/>
        <n v="822"/>
        <n v="440"/>
        <n v="502"/>
        <n v="475"/>
        <n v="957"/>
        <n v="152"/>
        <n v="839"/>
        <n v="441"/>
        <n v="693"/>
        <n v="324"/>
        <n v="327"/>
        <n v="348"/>
        <n v="410"/>
        <n v="521"/>
        <n v="422"/>
        <n v="346"/>
        <n v="613"/>
        <n v="409"/>
        <n v="403"/>
        <n v="503"/>
        <n v="655"/>
        <n v="658"/>
        <n v="679"/>
        <n v="318"/>
        <n v="268"/>
        <n v="249"/>
        <n v="388"/>
        <n v="601"/>
        <n v="349"/>
        <n v="240"/>
        <n v="278"/>
        <n v="275"/>
        <n v="350"/>
        <n v="286"/>
        <n v="357"/>
        <n v="245"/>
        <n v="359"/>
        <n v="293"/>
        <n v="233"/>
        <n v="310"/>
        <n v="124"/>
        <n v="223"/>
        <n v="207"/>
        <n v="224"/>
        <n v="212"/>
        <n v="247"/>
        <n v="196"/>
        <n v="236"/>
        <n v="431"/>
        <n v="381"/>
        <n v="339"/>
        <n v="300"/>
        <n v="315"/>
        <n v="280"/>
        <n v="333"/>
        <n v="317"/>
        <n v="353"/>
        <n v="171"/>
        <n v="141"/>
        <n v="260"/>
        <n v="151"/>
        <n v="205"/>
        <n v="216"/>
        <n v="187"/>
        <n v="259"/>
        <n v="181"/>
        <n v="186"/>
        <n v="160"/>
        <n v="185"/>
        <n v="246"/>
        <n v="138"/>
        <n v="200"/>
        <n v="173"/>
        <n v="136"/>
        <n v="169"/>
        <n v="209"/>
        <n v="76"/>
        <n v="80"/>
        <n v="119"/>
        <n v="82"/>
        <n v="94"/>
        <n v="113"/>
        <n v="104"/>
        <n v="108"/>
        <n v="139"/>
        <n v="68"/>
        <n v="79"/>
        <n v="47"/>
        <n v="40"/>
        <n v="26"/>
        <n v="45"/>
        <n v="35"/>
        <n v="32"/>
        <n v="54"/>
        <n v="44"/>
        <n v="107"/>
        <n v="49"/>
        <n v="42"/>
        <n v="50"/>
        <n v="46"/>
        <n v="995"/>
        <n v="667"/>
        <n v="836"/>
        <n v="356"/>
        <n v="231"/>
        <n v="267"/>
        <n v="290"/>
        <n v="426"/>
        <n v="127"/>
        <n v="532"/>
        <n v="222"/>
        <n v="178"/>
        <n v="137"/>
        <n v="116"/>
        <n v="99"/>
        <n v="55"/>
        <n v="67"/>
        <n v="95"/>
        <n v="96"/>
        <n v="175"/>
        <n v="273"/>
        <n v="180"/>
        <n v="367"/>
        <n v="237"/>
        <n v="248"/>
        <n v="235"/>
        <n v="208"/>
        <n v="121"/>
        <n v="159"/>
        <n v="170"/>
        <n v="219"/>
        <n v="227"/>
        <n v="193"/>
        <n v="98"/>
        <n v="156"/>
        <n v="101"/>
        <n v="112"/>
        <n v="135"/>
        <n v="197"/>
        <n v="109"/>
        <n v="134"/>
        <n v="90"/>
        <n v="179"/>
        <n v="131"/>
        <n v="39"/>
        <n v="28"/>
        <n v="27"/>
        <n v="31"/>
        <n v="36"/>
        <n v="30"/>
        <n v="52"/>
        <n v="29"/>
        <n v="23"/>
        <n v="22"/>
        <n v="20"/>
        <n v="21"/>
        <n v="97"/>
        <n v="84"/>
        <n v="69"/>
        <n v="57"/>
        <n v="34"/>
        <n v="24"/>
        <n v="146"/>
        <n v="102"/>
        <n v="38"/>
        <n v="2303"/>
        <n v="590"/>
        <n v="463"/>
        <n v="296"/>
        <n v="167"/>
        <n v="391"/>
        <n v="56"/>
        <n v="53"/>
        <n v="65"/>
        <n v="25"/>
        <n v="43"/>
        <n v="15"/>
        <n v="19"/>
        <n v="387"/>
        <n v="558"/>
        <n v="303"/>
        <n v="291"/>
        <n v="284"/>
        <n v="88"/>
        <n v="13"/>
        <n v="11"/>
        <n v="269"/>
        <n v="8"/>
        <n v="17"/>
      </sharedItems>
    </cacheField>
    <cacheField name="观看次数" numFmtId="0">
      <sharedItems containsSemiMixedTypes="0" containsString="0" containsNumber="1" containsInteger="1" minValue="3436" maxValue="197326" count="553">
        <n v="8834"/>
        <n v="7653"/>
        <n v="15500"/>
        <n v="9124"/>
        <n v="10424"/>
        <n v="30700"/>
        <n v="22584"/>
        <n v="22058"/>
        <n v="26547"/>
        <n v="21000"/>
        <n v="24700"/>
        <n v="10700"/>
        <n v="21078"/>
        <n v="18900"/>
        <n v="25267"/>
        <n v="32000"/>
        <n v="39144"/>
        <n v="47905"/>
        <n v="20100"/>
        <n v="38861"/>
        <n v="41715"/>
        <n v="58048"/>
        <n v="46717"/>
        <n v="43423"/>
        <n v="36705"/>
        <n v="39272"/>
        <n v="39952"/>
        <n v="11603"/>
        <n v="29163"/>
        <n v="42160"/>
        <n v="36647"/>
        <n v="43791"/>
        <n v="35371"/>
        <n v="59315"/>
        <n v="45443"/>
        <n v="53102"/>
        <n v="72010"/>
        <n v="42428"/>
        <n v="48180"/>
        <n v="60354"/>
        <n v="64833"/>
        <n v="67876"/>
        <n v="56204"/>
        <n v="62787"/>
        <n v="58975"/>
        <n v="44980"/>
        <n v="29622"/>
        <n v="72826"/>
        <n v="63480"/>
        <n v="65928"/>
        <n v="60974"/>
        <n v="66355"/>
        <n v="67469"/>
        <n v="65375"/>
        <n v="66339"/>
        <n v="70717"/>
        <n v="74060"/>
        <n v="69144"/>
        <n v="66812"/>
        <n v="69534"/>
        <n v="72354"/>
        <n v="65326"/>
        <n v="66494"/>
        <n v="65499"/>
        <n v="60834"/>
        <n v="59171"/>
        <n v="61584"/>
        <n v="84129"/>
        <n v="64281"/>
        <n v="64119"/>
        <n v="49228"/>
        <n v="54707"/>
        <n v="89035"/>
        <n v="53597"/>
        <n v="63917"/>
        <n v="48036"/>
        <n v="49113"/>
        <n v="42829"/>
        <n v="58525"/>
        <n v="48493"/>
        <n v="39457"/>
        <n v="48668"/>
        <n v="39961"/>
        <n v="41588"/>
        <n v="56795"/>
        <n v="45180"/>
        <n v="47292"/>
        <n v="42768"/>
        <n v="48257"/>
        <n v="43053"/>
        <n v="38123"/>
        <n v="36995"/>
        <n v="48768"/>
        <n v="52433"/>
        <n v="42184"/>
        <n v="43593"/>
        <n v="35816"/>
        <n v="42192"/>
        <n v="159434"/>
        <n v="34194"/>
        <n v="27534"/>
        <n v="31316"/>
        <n v="37047"/>
        <n v="28363"/>
        <n v="32013"/>
        <n v="24140"/>
        <n v="27082"/>
        <n v="22017"/>
        <n v="22657"/>
        <n v="24851"/>
        <n v="4208"/>
        <n v="6679"/>
        <n v="14673"/>
        <n v="9259"/>
        <n v="10521"/>
        <n v="13424"/>
        <n v="5279"/>
        <n v="7107"/>
        <n v="17444"/>
        <n v="20413"/>
        <n v="24641"/>
        <n v="21049"/>
        <n v="24545"/>
        <n v="27810"/>
        <n v="30630"/>
        <n v="26957"/>
        <n v="28473"/>
        <n v="29918"/>
        <n v="38158"/>
        <n v="43637"/>
        <n v="45273"/>
        <n v="45786"/>
        <n v="37127"/>
        <n v="24165"/>
        <n v="27001"/>
        <n v="39074"/>
        <n v="32194"/>
        <n v="39520"/>
        <n v="41131"/>
        <n v="22735"/>
        <n v="51214"/>
        <n v="35904"/>
        <n v="39049"/>
        <n v="38458"/>
        <n v="50193"/>
        <n v="64976"/>
        <n v="45606"/>
        <n v="47190"/>
        <n v="54284"/>
        <n v="60108"/>
        <n v="77534"/>
        <n v="70339"/>
        <n v="56904"/>
        <n v="121892"/>
        <n v="93640"/>
        <n v="101692"/>
        <n v="74642"/>
        <n v="92906"/>
        <n v="80695"/>
        <n v="74577"/>
        <n v="81828"/>
        <n v="124946"/>
        <n v="31662"/>
        <n v="101001"/>
        <n v="108480"/>
        <n v="82409"/>
        <n v="100829"/>
        <n v="73451"/>
        <n v="82297"/>
        <n v="80189"/>
        <n v="92081"/>
        <n v="87478"/>
        <n v="100177"/>
        <n v="114768"/>
        <n v="89738"/>
        <n v="95714"/>
        <n v="85179"/>
        <n v="104474"/>
        <n v="98903"/>
        <n v="100249"/>
        <n v="83170"/>
        <n v="101337"/>
        <n v="94870"/>
        <n v="113890"/>
        <n v="64297"/>
        <n v="64280"/>
        <n v="78096"/>
        <n v="60094"/>
        <n v="96036"/>
        <n v="66814"/>
        <n v="133682"/>
        <n v="115427"/>
        <n v="86747"/>
        <n v="63027"/>
        <n v="84059"/>
        <n v="74152"/>
        <n v="86076"/>
        <n v="99659"/>
        <n v="117352"/>
        <n v="101049"/>
        <n v="131588"/>
        <n v="93043"/>
        <n v="115604"/>
        <n v="99459"/>
        <n v="114435"/>
        <n v="94936"/>
        <n v="110587"/>
        <n v="104238"/>
        <n v="104164"/>
        <n v="102274"/>
        <n v="48116"/>
        <n v="98815"/>
        <n v="106980"/>
        <n v="94466"/>
        <n v="104520"/>
        <n v="116111"/>
        <n v="84197"/>
        <n v="89239"/>
        <n v="134912"/>
        <n v="75209"/>
        <n v="62847"/>
        <n v="73168"/>
        <n v="128663"/>
        <n v="93130"/>
        <n v="75481"/>
        <n v="68473"/>
        <n v="81743"/>
        <n v="74273"/>
        <n v="89148"/>
        <n v="76753"/>
        <n v="113601"/>
        <n v="69318"/>
        <n v="78327"/>
        <n v="55526"/>
        <n v="34712"/>
        <n v="72835"/>
        <n v="82529"/>
        <n v="65865"/>
        <n v="55659"/>
        <n v="67578"/>
        <n v="71235"/>
        <n v="53222"/>
        <n v="80742"/>
        <n v="78602"/>
        <n v="68916"/>
        <n v="68472"/>
        <n v="83107"/>
        <n v="56916"/>
        <n v="74860"/>
        <n v="55055"/>
        <n v="85694"/>
        <n v="62317"/>
        <n v="69067"/>
        <n v="78540"/>
        <n v="69317"/>
        <n v="84022"/>
        <n v="73883"/>
        <n v="69127"/>
        <n v="80143"/>
        <n v="55262"/>
        <n v="68308"/>
        <n v="58437"/>
        <n v="79277"/>
        <n v="49748"/>
        <n v="59417"/>
        <n v="51227"/>
        <n v="61966"/>
        <n v="62998"/>
        <n v="56460"/>
        <n v="52298"/>
        <n v="65044"/>
        <n v="52929"/>
        <n v="74116"/>
        <n v="59136"/>
        <n v="70893"/>
        <n v="64360"/>
        <n v="67855"/>
        <n v="55436"/>
        <n v="75099"/>
        <n v="77032"/>
        <n v="51711"/>
        <n v="76291"/>
        <n v="46114"/>
        <n v="60826"/>
        <n v="45063"/>
        <n v="197326"/>
        <n v="38181"/>
        <n v="44883"/>
        <n v="39594"/>
        <n v="38599"/>
        <n v="41694"/>
        <n v="39021"/>
        <n v="34703"/>
        <n v="39950"/>
        <n v="34318"/>
        <n v="38428"/>
        <n v="33027"/>
        <n v="36571"/>
        <n v="33009"/>
        <n v="34351"/>
        <n v="37977"/>
        <n v="52201"/>
        <n v="49831"/>
        <n v="39053"/>
        <n v="41676"/>
        <n v="38002"/>
        <n v="36998"/>
        <n v="38368"/>
        <n v="34045"/>
        <n v="39605"/>
        <n v="29103"/>
        <n v="47023"/>
        <n v="47869"/>
        <n v="48080"/>
        <n v="46349"/>
        <n v="14299"/>
        <n v="14176"/>
        <n v="20936"/>
        <n v="26480"/>
        <n v="17301"/>
        <n v="15951"/>
        <n v="14040"/>
        <n v="18635"/>
        <n v="23581"/>
        <n v="23344"/>
        <n v="17414"/>
        <n v="24068"/>
        <n v="18805"/>
        <n v="23622"/>
        <n v="27646"/>
        <n v="15968"/>
        <n v="11121"/>
        <n v="17122"/>
        <n v="12342"/>
        <n v="13001"/>
        <n v="10904"/>
        <n v="11407"/>
        <n v="9563"/>
        <n v="11864"/>
        <n v="15385"/>
        <n v="13773"/>
        <n v="14851"/>
        <n v="12650"/>
        <n v="18271"/>
        <n v="19890"/>
        <n v="30163"/>
        <n v="23697"/>
        <n v="28319"/>
        <n v="23087"/>
        <n v="34002"/>
        <n v="28960"/>
        <n v="33209"/>
        <n v="32756"/>
        <n v="26607"/>
        <n v="36389"/>
        <n v="35809"/>
        <n v="26624"/>
        <n v="24829"/>
        <n v="25189"/>
        <n v="32795"/>
        <n v="26899"/>
        <n v="36874"/>
        <n v="41170"/>
        <n v="26930"/>
        <n v="25466"/>
        <n v="30035"/>
        <n v="30186"/>
        <n v="25190"/>
        <n v="32127"/>
        <n v="27455"/>
        <n v="24582"/>
        <n v="22957"/>
        <n v="25594"/>
        <n v="23152"/>
        <n v="14534"/>
        <n v="28397"/>
        <n v="25023"/>
        <n v="15312"/>
        <n v="18135"/>
        <n v="21455"/>
        <n v="19656"/>
        <n v="26078"/>
        <n v="19474"/>
        <n v="23867"/>
        <n v="23153"/>
        <n v="28269"/>
        <n v="28467"/>
        <n v="26685"/>
        <n v="15564"/>
        <n v="37501"/>
        <n v="20578"/>
        <n v="26435"/>
        <n v="22070"/>
        <n v="25590"/>
        <n v="23562"/>
        <n v="31416"/>
        <n v="27381"/>
        <n v="29351"/>
        <n v="33811"/>
        <n v="35072"/>
        <n v="23257"/>
        <n v="32261"/>
        <n v="21849"/>
        <n v="27673"/>
        <n v="21185"/>
        <n v="25143"/>
        <n v="23192"/>
        <n v="26398"/>
        <n v="15841"/>
        <n v="17605"/>
        <n v="17552"/>
        <n v="19809"/>
        <n v="12771"/>
        <n v="17438"/>
        <n v="13967"/>
        <n v="18171"/>
        <n v="15893"/>
        <n v="19126"/>
        <n v="14601"/>
        <n v="17050"/>
        <n v="16803"/>
        <n v="18137"/>
        <n v="18648"/>
        <n v="20115"/>
        <n v="17408"/>
        <n v="17842"/>
        <n v="16370"/>
        <n v="15901"/>
        <n v="13063"/>
        <n v="15591"/>
        <n v="62931"/>
        <n v="12542"/>
        <n v="22473"/>
        <n v="26339"/>
        <n v="24150"/>
        <n v="24035"/>
        <n v="28370"/>
        <n v="21820"/>
        <n v="26209"/>
        <n v="16804"/>
        <n v="15019"/>
        <n v="15296"/>
        <n v="15859"/>
        <n v="17564"/>
        <n v="31525"/>
        <n v="22399"/>
        <n v="19593"/>
        <n v="17820"/>
        <n v="21124"/>
        <n v="23242"/>
        <n v="20117"/>
        <n v="19415"/>
        <n v="16345"/>
        <n v="27558"/>
        <n v="20913"/>
        <n v="24139"/>
        <n v="18976"/>
        <n v="23079"/>
        <n v="8879"/>
        <n v="18273"/>
        <n v="22611"/>
        <n v="43414"/>
        <n v="23954"/>
        <n v="26529"/>
        <n v="23018"/>
        <n v="23136"/>
        <n v="22826"/>
        <n v="21870"/>
        <n v="35635"/>
        <n v="18803"/>
        <n v="12453"/>
        <n v="15147"/>
        <n v="17170"/>
        <n v="14730"/>
        <n v="14343"/>
        <n v="17801"/>
        <n v="20818"/>
        <n v="14599"/>
        <n v="14566"/>
        <n v="14342"/>
        <n v="13940"/>
        <n v="12530"/>
        <n v="49666"/>
        <n v="11789"/>
        <n v="16573"/>
        <n v="17905"/>
        <n v="14455"/>
        <n v="16337"/>
        <n v="14415"/>
        <n v="13349"/>
        <n v="21366"/>
        <n v="18622"/>
        <n v="16027"/>
        <n v="14881"/>
        <n v="13088"/>
        <n v="11285"/>
        <n v="11496"/>
        <n v="3436"/>
        <n v="14911"/>
        <n v="11302"/>
        <n v="12498"/>
        <n v="14683"/>
        <n v="14382"/>
        <n v="13469"/>
        <n v="12799"/>
        <n v="14150"/>
        <n v="11868"/>
        <n v="9930"/>
        <n v="8964"/>
        <n v="8533"/>
        <n v="8090"/>
        <n v="7693"/>
        <n v="7457"/>
        <n v="7258"/>
        <n v="11480"/>
        <n v="10213"/>
        <n v="12191"/>
        <n v="10010"/>
        <n v="12020"/>
        <n v="13939"/>
        <n v="12938"/>
        <n v="10096"/>
        <n v="11267"/>
        <n v="7407"/>
        <n v="8093"/>
        <n v="5553"/>
        <n v="4625"/>
        <n v="4976"/>
        <n v="4995"/>
        <n v="5706"/>
        <n v="5860"/>
        <n v="7928"/>
        <n v="6707"/>
        <n v="8624"/>
        <n v="4710"/>
        <n v="5613"/>
        <n v="4705"/>
        <n v="3542"/>
        <n v="8641"/>
        <n v="8172"/>
        <n v="7339"/>
        <n v="8128"/>
        <n v="9242"/>
        <n v="12188"/>
        <n v="10311"/>
        <n v="15393"/>
        <n v="13052"/>
        <n v="11962"/>
        <n v="10210"/>
        <n v="4411"/>
        <n v="7598"/>
        <n v="11142"/>
        <n v="8097"/>
      </sharedItems>
    </cacheField>
    <cacheField name="尖峰在线" numFmtId="0">
      <sharedItems containsSemiMixedTypes="0" containsString="0" containsNumber="1" containsInteger="1" minValue="360" maxValue="18900" count="480">
        <n v="1324"/>
        <n v="478"/>
        <n v="958"/>
        <n v="764"/>
        <n v="789"/>
        <n v="2145"/>
        <n v="1587"/>
        <n v="1258"/>
        <n v="1835"/>
        <n v="1411"/>
        <n v="870"/>
        <n v="1520"/>
        <n v="1730"/>
        <n v="1725"/>
        <n v="2123"/>
        <n v="3995"/>
        <n v="3377"/>
        <n v="2795"/>
        <n v="2830"/>
        <n v="2052"/>
        <n v="4482"/>
        <n v="2504"/>
        <n v="4034"/>
        <n v="3735"/>
        <n v="3071"/>
        <n v="3846"/>
        <n v="2666"/>
        <n v="2642"/>
        <n v="4612"/>
        <n v="4282"/>
        <n v="5179"/>
        <n v="4755"/>
        <n v="4431"/>
        <n v="5372"/>
        <n v="7580"/>
        <n v="3857"/>
        <n v="6229"/>
        <n v="6799"/>
        <n v="7324"/>
        <n v="9909"/>
        <n v="9610"/>
        <n v="9670"/>
        <n v="8819"/>
        <n v="11400"/>
        <n v="9973"/>
        <n v="10100"/>
        <n v="10900"/>
        <n v="11300"/>
        <n v="10200"/>
        <n v="10400"/>
        <n v="10700"/>
        <n v="12400"/>
        <n v="7670"/>
        <n v="9194"/>
        <n v="11900"/>
        <n v="10300"/>
        <n v="9369"/>
        <n v="9963"/>
        <n v="9412"/>
        <n v="12000"/>
        <n v="11500"/>
        <n v="9486"/>
        <n v="11100"/>
        <n v="9875"/>
        <n v="9377"/>
        <n v="6331"/>
        <n v="8866"/>
        <n v="8938"/>
        <n v="8315"/>
        <n v="7165"/>
        <n v="8475"/>
        <n v="6756"/>
        <n v="6509"/>
        <n v="7317"/>
        <n v="8265"/>
        <n v="8362"/>
        <n v="6559"/>
        <n v="8831"/>
        <n v="8453"/>
        <n v="7918"/>
        <n v="7031"/>
        <n v="6045"/>
        <n v="6961"/>
        <n v="7004"/>
        <n v="5250"/>
        <n v="6888"/>
        <n v="9355"/>
        <n v="11200"/>
        <n v="5970"/>
        <n v="5955"/>
        <n v="5518"/>
        <n v="5298"/>
        <n v="5816"/>
        <n v="4632"/>
        <n v="3688"/>
        <n v="4488"/>
        <n v="4506"/>
        <n v="3782"/>
        <n v="4441"/>
        <n v="3769"/>
        <n v="3464"/>
        <n v="3652"/>
        <n v="3909"/>
        <n v="3638"/>
        <n v="369"/>
        <n v="402"/>
        <n v="1233"/>
        <n v="775"/>
        <n v="828"/>
        <n v="1165"/>
        <n v="580"/>
        <n v="534"/>
        <n v="1200"/>
        <n v="1560"/>
        <n v="2035"/>
        <n v="2370"/>
        <n v="2003"/>
        <n v="2720"/>
        <n v="1876"/>
        <n v="1918"/>
        <n v="2321"/>
        <n v="1832"/>
        <n v="1901"/>
        <n v="2904"/>
        <n v="2870"/>
        <n v="3049"/>
        <n v="2669"/>
        <n v="2482"/>
        <n v="2235"/>
        <n v="2973"/>
        <n v="2627"/>
        <n v="3267"/>
        <n v="3346"/>
        <n v="2476"/>
        <n v="3871"/>
        <n v="2894"/>
        <n v="3908"/>
        <n v="3913"/>
        <n v="5055"/>
        <n v="2872"/>
        <n v="4725"/>
        <n v="5130"/>
        <n v="5019"/>
        <n v="5126"/>
        <n v="7442"/>
        <n v="7323"/>
        <n v="6219"/>
        <n v="9615"/>
        <n v="11700"/>
        <n v="9309"/>
        <n v="9600"/>
        <n v="8361"/>
        <n v="9256"/>
        <n v="5996"/>
        <n v="12700"/>
        <n v="10800"/>
        <n v="9298"/>
        <n v="14700"/>
        <n v="9724"/>
        <n v="12200"/>
        <n v="15900"/>
        <n v="16600"/>
        <n v="16400"/>
        <n v="12100"/>
        <n v="15100"/>
        <n v="17200"/>
        <n v="13500"/>
        <n v="16000"/>
        <n v="15200"/>
        <n v="13600"/>
        <n v="15600"/>
        <n v="14100"/>
        <n v="16500"/>
        <n v="11600"/>
        <n v="16100"/>
        <n v="12600"/>
        <n v="12500"/>
        <n v="18400"/>
        <n v="14600"/>
        <n v="13000"/>
        <n v="13800"/>
        <n v="16700"/>
        <n v="14300"/>
        <n v="18900"/>
        <n v="13100"/>
        <n v="17500"/>
        <n v="14200"/>
        <n v="13200"/>
        <n v="14800"/>
        <n v="13300"/>
        <n v="9636"/>
        <n v="13400"/>
        <n v="10500"/>
        <n v="8626"/>
        <n v="7378"/>
        <n v="10000"/>
        <n v="9894"/>
        <n v="12900"/>
        <n v="9330"/>
        <n v="12300"/>
        <n v="9518"/>
        <n v="9106"/>
        <n v="12800"/>
        <n v="8853"/>
        <n v="8820"/>
        <n v="9345"/>
        <n v="11000"/>
        <n v="9150"/>
        <n v="9569"/>
        <n v="9839"/>
        <n v="9433"/>
        <n v="14500"/>
        <n v="9675"/>
        <n v="9242"/>
        <n v="13900"/>
        <n v="8445"/>
        <n v="8577"/>
        <n v="7432"/>
        <n v="8993"/>
        <n v="6051"/>
        <n v="6632"/>
        <n v="5687"/>
        <n v="6431"/>
        <n v="7011"/>
        <n v="6667"/>
        <n v="5732"/>
        <n v="6859"/>
        <n v="5300"/>
        <n v="6000"/>
        <n v="6063"/>
        <n v="6269"/>
        <n v="2282"/>
        <n v="5400"/>
        <n v="5951"/>
        <n v="6277"/>
        <n v="5296"/>
        <n v="5832"/>
        <n v="6313"/>
        <n v="5897"/>
        <n v="5603"/>
        <n v="6293"/>
        <n v="7638"/>
        <n v="1979"/>
        <n v="7298"/>
        <n v="7304"/>
        <n v="7479"/>
        <n v="8284"/>
        <n v="1499"/>
        <n v="1426"/>
        <n v="1953"/>
        <n v="2794"/>
        <n v="1814"/>
        <n v="1629"/>
        <n v="1597"/>
        <n v="2165"/>
        <n v="2433"/>
        <n v="2712"/>
        <n v="1866"/>
        <n v="4590"/>
        <n v="2414"/>
        <n v="2176"/>
        <n v="2798"/>
        <n v="2317"/>
        <n v="2180"/>
        <n v="1723"/>
        <n v="2264"/>
        <n v="1695"/>
        <n v="1744"/>
        <n v="1652"/>
        <n v="1849"/>
        <n v="1877"/>
        <n v="2163"/>
        <n v="1981"/>
        <n v="2047"/>
        <n v="1931"/>
        <n v="3053"/>
        <n v="2315"/>
        <n v="3374"/>
        <n v="3125"/>
        <n v="3389"/>
        <n v="2643"/>
        <n v="2919"/>
        <n v="3106"/>
        <n v="4013"/>
        <n v="3624"/>
        <n v="3003"/>
        <n v="3917"/>
        <n v="3466"/>
        <n v="2900"/>
        <n v="2303"/>
        <n v="2933"/>
        <n v="3315"/>
        <n v="2998"/>
        <n v="2905"/>
        <n v="1688"/>
        <n v="2371"/>
        <n v="2355"/>
        <n v="3837"/>
        <n v="3556"/>
        <n v="4337"/>
        <n v="3555"/>
        <n v="3494"/>
        <n v="3673"/>
        <n v="3964"/>
        <n v="3872"/>
        <n v="4636"/>
        <n v="3788"/>
        <n v="4589"/>
        <n v="2990"/>
        <n v="3439"/>
        <n v="3152"/>
        <n v="2978"/>
        <n v="3508"/>
        <n v="3297"/>
        <n v="3305"/>
        <n v="3445"/>
        <n v="4675"/>
        <n v="3789"/>
        <n v="4118"/>
        <n v="2692"/>
        <n v="4678"/>
        <n v="2940"/>
        <n v="4255"/>
        <n v="2994"/>
        <n v="4400"/>
        <n v="3676"/>
        <n v="5464"/>
        <n v="3348"/>
        <n v="3978"/>
        <n v="3750"/>
        <n v="5520"/>
        <n v="3034"/>
        <n v="5643"/>
        <n v="3030"/>
        <n v="4151"/>
        <n v="3785"/>
        <n v="3546"/>
        <n v="3178"/>
        <n v="2689"/>
        <n v="3166"/>
        <n v="2891"/>
        <n v="3418"/>
        <n v="2351"/>
        <n v="3079"/>
        <n v="2542"/>
        <n v="2892"/>
        <n v="2983"/>
        <n v="3544"/>
        <n v="2876"/>
        <n v="3217"/>
        <n v="2450"/>
        <n v="3404"/>
        <n v="3334"/>
        <n v="3717"/>
        <n v="3067"/>
        <n v="2572"/>
        <n v="2951"/>
        <n v="3108"/>
        <n v="2562"/>
        <n v="3498"/>
        <n v="2173"/>
        <n v="1917"/>
        <n v="3338"/>
        <n v="3061"/>
        <n v="3953"/>
        <n v="2916"/>
        <n v="4524"/>
        <n v="2833"/>
        <n v="3740"/>
        <n v="2997"/>
        <n v="2841"/>
        <n v="2750"/>
        <n v="2959"/>
        <n v="3201"/>
        <n v="4988"/>
        <n v="966"/>
        <n v="2703"/>
        <n v="3308"/>
        <n v="3326"/>
        <n v="3102"/>
        <n v="3015"/>
        <n v="3780"/>
        <n v="2633"/>
        <n v="4392"/>
        <n v="3365"/>
        <n v="4703"/>
        <n v="3506"/>
        <n v="4363"/>
        <n v="797"/>
        <n v="3681"/>
        <n v="3579"/>
        <n v="5420"/>
        <n v="3013"/>
        <n v="2925"/>
        <n v="2874"/>
        <n v="2255"/>
        <n v="5399"/>
        <n v="2540"/>
        <n v="2001"/>
        <n v="2041"/>
        <n v="2559"/>
        <n v="1867"/>
        <n v="2131"/>
        <n v="2518"/>
        <n v="2218"/>
        <n v="1954"/>
        <n v="2044"/>
        <n v="1673"/>
        <n v="1928"/>
        <n v="1760"/>
        <n v="1671"/>
        <n v="1437"/>
        <n v="2023"/>
        <n v="2784"/>
        <n v="2233"/>
        <n v="2306"/>
        <n v="2090"/>
        <n v="1955"/>
        <n v="2333"/>
        <n v="2681"/>
        <n v="1987"/>
        <n v="1864"/>
        <n v="1590"/>
        <n v="1938"/>
        <n v="393"/>
        <n v="1694"/>
        <n v="1811"/>
        <n v="1935"/>
        <n v="2230"/>
        <n v="2286"/>
        <n v="1934"/>
        <n v="2157"/>
        <n v="2033"/>
        <n v="1545"/>
        <n v="1457"/>
        <n v="1086"/>
        <n v="1041"/>
        <n v="1201"/>
        <n v="969"/>
        <n v="1021"/>
        <n v="960"/>
        <n v="1453"/>
        <n v="1502"/>
        <n v="1930"/>
        <n v="1611"/>
        <n v="1827"/>
        <n v="2171"/>
        <n v="1724"/>
        <n v="961"/>
        <n v="1353"/>
        <n v="855"/>
        <n v="666"/>
        <n v="507"/>
        <n v="476"/>
        <n v="498"/>
        <n v="424"/>
        <n v="384"/>
        <n v="592"/>
        <n v="560"/>
        <n v="505"/>
        <n v="490"/>
        <n v="363"/>
        <n v="515"/>
        <n v="577"/>
        <n v="360"/>
        <n v="651"/>
        <n v="841"/>
        <n v="715"/>
        <n v="757"/>
        <n v="778"/>
        <n v="1988"/>
        <n v="1266"/>
        <n v="1190"/>
        <n v="1099"/>
        <n v="1173"/>
        <n v="1036"/>
        <n v="706"/>
        <n v="1030"/>
        <n v="999"/>
        <n v="805"/>
      </sharedItems>
    </cacheField>
    <cacheField name="平均观看时长" numFmtId="0">
      <sharedItems containsSemiMixedTypes="0" containsString="0" containsNumber="1" containsInteger="1" minValue="1" maxValue="42" count="37">
        <n v="2"/>
        <n v="3"/>
        <n v="5"/>
        <n v="4"/>
        <n v="6"/>
        <n v="7"/>
        <n v="9"/>
        <n v="11"/>
        <n v="8"/>
        <n v="1"/>
        <n v="12"/>
        <n v="14"/>
        <n v="13"/>
        <n v="15"/>
        <n v="18"/>
        <n v="16"/>
        <n v="17"/>
        <n v="20"/>
        <n v="21"/>
        <n v="23"/>
        <n v="22"/>
        <n v="25"/>
        <n v="24"/>
        <n v="19"/>
        <n v="26"/>
        <n v="31"/>
        <n v="27"/>
        <n v="10"/>
        <n v="29"/>
        <n v="30"/>
        <n v="33"/>
        <n v="34"/>
        <n v="28"/>
        <n v="32"/>
        <n v="35"/>
        <n v="36"/>
        <n v="4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7">
  <r>
    <x v="0"/>
    <x v="0"/>
    <x v="0"/>
    <x v="0"/>
    <x v="0"/>
    <x v="0"/>
    <x v="0"/>
    <x v="0"/>
  </r>
  <r>
    <x v="1"/>
    <x v="0"/>
    <x v="0"/>
    <x v="1"/>
    <x v="1"/>
    <x v="1"/>
    <x v="1"/>
    <x v="0"/>
  </r>
  <r>
    <x v="2"/>
    <x v="0"/>
    <x v="0"/>
    <x v="2"/>
    <x v="2"/>
    <x v="2"/>
    <x v="2"/>
    <x v="0"/>
  </r>
  <r>
    <x v="3"/>
    <x v="0"/>
    <x v="0"/>
    <x v="3"/>
    <x v="3"/>
    <x v="3"/>
    <x v="3"/>
    <x v="0"/>
  </r>
  <r>
    <x v="4"/>
    <x v="0"/>
    <x v="0"/>
    <x v="4"/>
    <x v="4"/>
    <x v="4"/>
    <x v="4"/>
    <x v="0"/>
  </r>
  <r>
    <x v="5"/>
    <x v="0"/>
    <x v="0"/>
    <x v="5"/>
    <x v="5"/>
    <x v="5"/>
    <x v="5"/>
    <x v="0"/>
  </r>
  <r>
    <x v="6"/>
    <x v="0"/>
    <x v="0"/>
    <x v="6"/>
    <x v="6"/>
    <x v="6"/>
    <x v="6"/>
    <x v="0"/>
  </r>
  <r>
    <x v="7"/>
    <x v="0"/>
    <x v="0"/>
    <x v="7"/>
    <x v="7"/>
    <x v="7"/>
    <x v="7"/>
    <x v="0"/>
  </r>
  <r>
    <x v="8"/>
    <x v="0"/>
    <x v="0"/>
    <x v="8"/>
    <x v="8"/>
    <x v="8"/>
    <x v="8"/>
    <x v="0"/>
  </r>
  <r>
    <x v="9"/>
    <x v="0"/>
    <x v="0"/>
    <x v="9"/>
    <x v="9"/>
    <x v="9"/>
    <x v="9"/>
    <x v="0"/>
  </r>
  <r>
    <x v="10"/>
    <x v="0"/>
    <x v="0"/>
    <x v="10"/>
    <x v="10"/>
    <x v="10"/>
    <x v="10"/>
    <x v="0"/>
  </r>
  <r>
    <x v="11"/>
    <x v="0"/>
    <x v="0"/>
    <x v="11"/>
    <x v="11"/>
    <x v="11"/>
    <x v="11"/>
    <x v="0"/>
  </r>
  <r>
    <x v="12"/>
    <x v="0"/>
    <x v="0"/>
    <x v="12"/>
    <x v="12"/>
    <x v="12"/>
    <x v="12"/>
    <x v="0"/>
  </r>
  <r>
    <x v="13"/>
    <x v="0"/>
    <x v="0"/>
    <x v="13"/>
    <x v="13"/>
    <x v="13"/>
    <x v="13"/>
    <x v="0"/>
  </r>
  <r>
    <x v="14"/>
    <x v="0"/>
    <x v="0"/>
    <x v="14"/>
    <x v="14"/>
    <x v="14"/>
    <x v="14"/>
    <x v="0"/>
  </r>
  <r>
    <x v="15"/>
    <x v="0"/>
    <x v="0"/>
    <x v="15"/>
    <x v="15"/>
    <x v="15"/>
    <x v="15"/>
    <x v="0"/>
  </r>
  <r>
    <x v="16"/>
    <x v="0"/>
    <x v="0"/>
    <x v="16"/>
    <x v="16"/>
    <x v="16"/>
    <x v="16"/>
    <x v="0"/>
  </r>
  <r>
    <x v="17"/>
    <x v="0"/>
    <x v="0"/>
    <x v="17"/>
    <x v="17"/>
    <x v="17"/>
    <x v="17"/>
    <x v="0"/>
  </r>
  <r>
    <x v="18"/>
    <x v="0"/>
    <x v="0"/>
    <x v="18"/>
    <x v="18"/>
    <x v="18"/>
    <x v="18"/>
    <x v="0"/>
  </r>
  <r>
    <x v="19"/>
    <x v="0"/>
    <x v="0"/>
    <x v="19"/>
    <x v="19"/>
    <x v="19"/>
    <x v="19"/>
    <x v="0"/>
  </r>
  <r>
    <x v="20"/>
    <x v="0"/>
    <x v="0"/>
    <x v="20"/>
    <x v="20"/>
    <x v="20"/>
    <x v="20"/>
    <x v="0"/>
  </r>
  <r>
    <x v="21"/>
    <x v="0"/>
    <x v="0"/>
    <x v="21"/>
    <x v="21"/>
    <x v="21"/>
    <x v="21"/>
    <x v="0"/>
  </r>
  <r>
    <x v="22"/>
    <x v="0"/>
    <x v="0"/>
    <x v="22"/>
    <x v="22"/>
    <x v="22"/>
    <x v="22"/>
    <x v="0"/>
  </r>
  <r>
    <x v="23"/>
    <x v="0"/>
    <x v="0"/>
    <x v="23"/>
    <x v="23"/>
    <x v="23"/>
    <x v="23"/>
    <x v="0"/>
  </r>
  <r>
    <x v="24"/>
    <x v="0"/>
    <x v="0"/>
    <x v="24"/>
    <x v="24"/>
    <x v="24"/>
    <x v="24"/>
    <x v="0"/>
  </r>
  <r>
    <x v="25"/>
    <x v="0"/>
    <x v="0"/>
    <x v="25"/>
    <x v="25"/>
    <x v="25"/>
    <x v="25"/>
    <x v="1"/>
  </r>
  <r>
    <x v="26"/>
    <x v="0"/>
    <x v="0"/>
    <x v="26"/>
    <x v="26"/>
    <x v="26"/>
    <x v="26"/>
    <x v="1"/>
  </r>
  <r>
    <x v="27"/>
    <x v="0"/>
    <x v="0"/>
    <x v="27"/>
    <x v="27"/>
    <x v="27"/>
    <x v="27"/>
    <x v="1"/>
  </r>
  <r>
    <x v="28"/>
    <x v="0"/>
    <x v="0"/>
    <x v="28"/>
    <x v="28"/>
    <x v="28"/>
    <x v="28"/>
    <x v="1"/>
  </r>
  <r>
    <x v="29"/>
    <x v="0"/>
    <x v="0"/>
    <x v="29"/>
    <x v="29"/>
    <x v="29"/>
    <x v="29"/>
    <x v="1"/>
  </r>
  <r>
    <x v="30"/>
    <x v="0"/>
    <x v="0"/>
    <x v="30"/>
    <x v="30"/>
    <x v="30"/>
    <x v="30"/>
    <x v="1"/>
  </r>
  <r>
    <x v="31"/>
    <x v="0"/>
    <x v="0"/>
    <x v="31"/>
    <x v="31"/>
    <x v="31"/>
    <x v="31"/>
    <x v="1"/>
  </r>
  <r>
    <x v="32"/>
    <x v="0"/>
    <x v="0"/>
    <x v="32"/>
    <x v="32"/>
    <x v="32"/>
    <x v="32"/>
    <x v="1"/>
  </r>
  <r>
    <x v="33"/>
    <x v="0"/>
    <x v="0"/>
    <x v="33"/>
    <x v="33"/>
    <x v="33"/>
    <x v="33"/>
    <x v="1"/>
  </r>
  <r>
    <x v="34"/>
    <x v="0"/>
    <x v="0"/>
    <x v="34"/>
    <x v="34"/>
    <x v="34"/>
    <x v="34"/>
    <x v="1"/>
  </r>
  <r>
    <x v="35"/>
    <x v="0"/>
    <x v="0"/>
    <x v="35"/>
    <x v="35"/>
    <x v="35"/>
    <x v="35"/>
    <x v="1"/>
  </r>
  <r>
    <x v="36"/>
    <x v="0"/>
    <x v="0"/>
    <x v="36"/>
    <x v="36"/>
    <x v="36"/>
    <x v="36"/>
    <x v="1"/>
  </r>
  <r>
    <x v="37"/>
    <x v="0"/>
    <x v="0"/>
    <x v="37"/>
    <x v="37"/>
    <x v="37"/>
    <x v="37"/>
    <x v="1"/>
  </r>
  <r>
    <x v="38"/>
    <x v="0"/>
    <x v="0"/>
    <x v="38"/>
    <x v="38"/>
    <x v="38"/>
    <x v="38"/>
    <x v="1"/>
  </r>
  <r>
    <x v="39"/>
    <x v="0"/>
    <x v="0"/>
    <x v="39"/>
    <x v="39"/>
    <x v="39"/>
    <x v="39"/>
    <x v="1"/>
  </r>
  <r>
    <x v="40"/>
    <x v="0"/>
    <x v="0"/>
    <x v="40"/>
    <x v="40"/>
    <x v="40"/>
    <x v="40"/>
    <x v="1"/>
  </r>
  <r>
    <x v="41"/>
    <x v="0"/>
    <x v="0"/>
    <x v="41"/>
    <x v="41"/>
    <x v="41"/>
    <x v="41"/>
    <x v="1"/>
  </r>
  <r>
    <x v="42"/>
    <x v="0"/>
    <x v="0"/>
    <x v="42"/>
    <x v="42"/>
    <x v="42"/>
    <x v="42"/>
    <x v="1"/>
  </r>
  <r>
    <x v="43"/>
    <x v="0"/>
    <x v="0"/>
    <x v="43"/>
    <x v="43"/>
    <x v="43"/>
    <x v="43"/>
    <x v="1"/>
  </r>
  <r>
    <x v="44"/>
    <x v="0"/>
    <x v="0"/>
    <x v="44"/>
    <x v="44"/>
    <x v="44"/>
    <x v="44"/>
    <x v="1"/>
  </r>
  <r>
    <x v="45"/>
    <x v="0"/>
    <x v="0"/>
    <x v="45"/>
    <x v="45"/>
    <x v="45"/>
    <x v="45"/>
    <x v="1"/>
  </r>
  <r>
    <x v="46"/>
    <x v="0"/>
    <x v="0"/>
    <x v="46"/>
    <x v="46"/>
    <x v="46"/>
    <x v="46"/>
    <x v="1"/>
  </r>
  <r>
    <x v="47"/>
    <x v="0"/>
    <x v="0"/>
    <x v="47"/>
    <x v="47"/>
    <x v="47"/>
    <x v="47"/>
    <x v="1"/>
  </r>
  <r>
    <x v="48"/>
    <x v="0"/>
    <x v="0"/>
    <x v="48"/>
    <x v="48"/>
    <x v="48"/>
    <x v="48"/>
    <x v="2"/>
  </r>
  <r>
    <x v="49"/>
    <x v="0"/>
    <x v="0"/>
    <x v="49"/>
    <x v="49"/>
    <x v="49"/>
    <x v="49"/>
    <x v="2"/>
  </r>
  <r>
    <x v="50"/>
    <x v="0"/>
    <x v="0"/>
    <x v="50"/>
    <x v="50"/>
    <x v="50"/>
    <x v="50"/>
    <x v="2"/>
  </r>
  <r>
    <x v="51"/>
    <x v="0"/>
    <x v="0"/>
    <x v="51"/>
    <x v="51"/>
    <x v="51"/>
    <x v="51"/>
    <x v="2"/>
  </r>
  <r>
    <x v="52"/>
    <x v="0"/>
    <x v="0"/>
    <x v="52"/>
    <x v="52"/>
    <x v="52"/>
    <x v="52"/>
    <x v="2"/>
  </r>
  <r>
    <x v="53"/>
    <x v="0"/>
    <x v="0"/>
    <x v="53"/>
    <x v="53"/>
    <x v="53"/>
    <x v="53"/>
    <x v="2"/>
  </r>
  <r>
    <x v="54"/>
    <x v="0"/>
    <x v="0"/>
    <x v="54"/>
    <x v="54"/>
    <x v="54"/>
    <x v="54"/>
    <x v="2"/>
  </r>
  <r>
    <x v="55"/>
    <x v="0"/>
    <x v="0"/>
    <x v="55"/>
    <x v="55"/>
    <x v="55"/>
    <x v="55"/>
    <x v="2"/>
  </r>
  <r>
    <x v="56"/>
    <x v="0"/>
    <x v="0"/>
    <x v="56"/>
    <x v="56"/>
    <x v="56"/>
    <x v="56"/>
    <x v="2"/>
  </r>
  <r>
    <x v="57"/>
    <x v="0"/>
    <x v="0"/>
    <x v="57"/>
    <x v="57"/>
    <x v="57"/>
    <x v="57"/>
    <x v="2"/>
  </r>
  <r>
    <x v="58"/>
    <x v="0"/>
    <x v="0"/>
    <x v="58"/>
    <x v="58"/>
    <x v="58"/>
    <x v="58"/>
    <x v="2"/>
  </r>
  <r>
    <x v="59"/>
    <x v="0"/>
    <x v="0"/>
    <x v="59"/>
    <x v="59"/>
    <x v="59"/>
    <x v="59"/>
    <x v="2"/>
  </r>
  <r>
    <x v="60"/>
    <x v="0"/>
    <x v="0"/>
    <x v="60"/>
    <x v="60"/>
    <x v="60"/>
    <x v="60"/>
    <x v="2"/>
  </r>
  <r>
    <x v="61"/>
    <x v="0"/>
    <x v="0"/>
    <x v="61"/>
    <x v="61"/>
    <x v="61"/>
    <x v="61"/>
    <x v="2"/>
  </r>
  <r>
    <x v="62"/>
    <x v="0"/>
    <x v="0"/>
    <x v="62"/>
    <x v="62"/>
    <x v="62"/>
    <x v="62"/>
    <x v="2"/>
  </r>
  <r>
    <x v="63"/>
    <x v="0"/>
    <x v="0"/>
    <x v="63"/>
    <x v="63"/>
    <x v="63"/>
    <x v="63"/>
    <x v="2"/>
  </r>
  <r>
    <x v="64"/>
    <x v="0"/>
    <x v="0"/>
    <x v="64"/>
    <x v="64"/>
    <x v="64"/>
    <x v="64"/>
    <x v="2"/>
  </r>
  <r>
    <x v="65"/>
    <x v="0"/>
    <x v="0"/>
    <x v="65"/>
    <x v="65"/>
    <x v="65"/>
    <x v="65"/>
    <x v="2"/>
  </r>
  <r>
    <x v="66"/>
    <x v="0"/>
    <x v="0"/>
    <x v="66"/>
    <x v="66"/>
    <x v="66"/>
    <x v="66"/>
    <x v="2"/>
  </r>
  <r>
    <x v="67"/>
    <x v="0"/>
    <x v="0"/>
    <x v="67"/>
    <x v="67"/>
    <x v="67"/>
    <x v="67"/>
    <x v="3"/>
  </r>
  <r>
    <x v="68"/>
    <x v="0"/>
    <x v="0"/>
    <x v="68"/>
    <x v="68"/>
    <x v="68"/>
    <x v="68"/>
    <x v="3"/>
  </r>
  <r>
    <x v="69"/>
    <x v="0"/>
    <x v="0"/>
    <x v="69"/>
    <x v="69"/>
    <x v="69"/>
    <x v="69"/>
    <x v="3"/>
  </r>
  <r>
    <x v="70"/>
    <x v="0"/>
    <x v="0"/>
    <x v="70"/>
    <x v="70"/>
    <x v="70"/>
    <x v="70"/>
    <x v="3"/>
  </r>
  <r>
    <x v="71"/>
    <x v="0"/>
    <x v="0"/>
    <x v="71"/>
    <x v="71"/>
    <x v="71"/>
    <x v="71"/>
    <x v="3"/>
  </r>
  <r>
    <x v="72"/>
    <x v="0"/>
    <x v="0"/>
    <x v="72"/>
    <x v="72"/>
    <x v="72"/>
    <x v="72"/>
    <x v="3"/>
  </r>
  <r>
    <x v="73"/>
    <x v="0"/>
    <x v="0"/>
    <x v="73"/>
    <x v="73"/>
    <x v="73"/>
    <x v="73"/>
    <x v="3"/>
  </r>
  <r>
    <x v="74"/>
    <x v="0"/>
    <x v="0"/>
    <x v="74"/>
    <x v="74"/>
    <x v="74"/>
    <x v="74"/>
    <x v="3"/>
  </r>
  <r>
    <x v="75"/>
    <x v="0"/>
    <x v="0"/>
    <x v="75"/>
    <x v="75"/>
    <x v="75"/>
    <x v="75"/>
    <x v="3"/>
  </r>
  <r>
    <x v="76"/>
    <x v="0"/>
    <x v="0"/>
    <x v="76"/>
    <x v="76"/>
    <x v="76"/>
    <x v="76"/>
    <x v="3"/>
  </r>
  <r>
    <x v="77"/>
    <x v="0"/>
    <x v="0"/>
    <x v="77"/>
    <x v="21"/>
    <x v="77"/>
    <x v="21"/>
    <x v="3"/>
  </r>
  <r>
    <x v="78"/>
    <x v="0"/>
    <x v="0"/>
    <x v="78"/>
    <x v="77"/>
    <x v="78"/>
    <x v="77"/>
    <x v="3"/>
  </r>
  <r>
    <x v="79"/>
    <x v="0"/>
    <x v="0"/>
    <x v="79"/>
    <x v="24"/>
    <x v="79"/>
    <x v="24"/>
    <x v="3"/>
  </r>
  <r>
    <x v="80"/>
    <x v="0"/>
    <x v="0"/>
    <x v="80"/>
    <x v="78"/>
    <x v="80"/>
    <x v="78"/>
    <x v="3"/>
  </r>
  <r>
    <x v="81"/>
    <x v="0"/>
    <x v="0"/>
    <x v="81"/>
    <x v="79"/>
    <x v="81"/>
    <x v="79"/>
    <x v="3"/>
  </r>
  <r>
    <x v="82"/>
    <x v="0"/>
    <x v="0"/>
    <x v="82"/>
    <x v="80"/>
    <x v="82"/>
    <x v="80"/>
    <x v="3"/>
  </r>
  <r>
    <x v="83"/>
    <x v="0"/>
    <x v="0"/>
    <x v="83"/>
    <x v="81"/>
    <x v="83"/>
    <x v="81"/>
    <x v="3"/>
  </r>
  <r>
    <x v="84"/>
    <x v="0"/>
    <x v="0"/>
    <x v="84"/>
    <x v="82"/>
    <x v="84"/>
    <x v="82"/>
    <x v="3"/>
  </r>
  <r>
    <x v="85"/>
    <x v="0"/>
    <x v="0"/>
    <x v="85"/>
    <x v="83"/>
    <x v="85"/>
    <x v="83"/>
    <x v="3"/>
  </r>
  <r>
    <x v="86"/>
    <x v="0"/>
    <x v="0"/>
    <x v="65"/>
    <x v="65"/>
    <x v="65"/>
    <x v="65"/>
    <x v="4"/>
  </r>
  <r>
    <x v="87"/>
    <x v="0"/>
    <x v="0"/>
    <x v="86"/>
    <x v="84"/>
    <x v="86"/>
    <x v="84"/>
    <x v="4"/>
  </r>
  <r>
    <x v="88"/>
    <x v="0"/>
    <x v="0"/>
    <x v="87"/>
    <x v="85"/>
    <x v="87"/>
    <x v="85"/>
    <x v="4"/>
  </r>
  <r>
    <x v="89"/>
    <x v="0"/>
    <x v="0"/>
    <x v="88"/>
    <x v="86"/>
    <x v="88"/>
    <x v="86"/>
    <x v="4"/>
  </r>
  <r>
    <x v="90"/>
    <x v="0"/>
    <x v="0"/>
    <x v="89"/>
    <x v="87"/>
    <x v="89"/>
    <x v="87"/>
    <x v="4"/>
  </r>
  <r>
    <x v="91"/>
    <x v="0"/>
    <x v="0"/>
    <x v="90"/>
    <x v="88"/>
    <x v="90"/>
    <x v="88"/>
    <x v="4"/>
  </r>
  <r>
    <x v="92"/>
    <x v="0"/>
    <x v="0"/>
    <x v="91"/>
    <x v="89"/>
    <x v="91"/>
    <x v="89"/>
    <x v="4"/>
  </r>
  <r>
    <x v="0"/>
    <x v="0"/>
    <x v="1"/>
    <x v="92"/>
    <x v="90"/>
    <x v="92"/>
    <x v="90"/>
    <x v="0"/>
  </r>
  <r>
    <x v="1"/>
    <x v="0"/>
    <x v="1"/>
    <x v="93"/>
    <x v="91"/>
    <x v="93"/>
    <x v="91"/>
    <x v="0"/>
  </r>
  <r>
    <x v="2"/>
    <x v="0"/>
    <x v="1"/>
    <x v="94"/>
    <x v="92"/>
    <x v="94"/>
    <x v="92"/>
    <x v="0"/>
  </r>
  <r>
    <x v="3"/>
    <x v="0"/>
    <x v="1"/>
    <x v="95"/>
    <x v="93"/>
    <x v="95"/>
    <x v="93"/>
    <x v="0"/>
  </r>
  <r>
    <x v="4"/>
    <x v="0"/>
    <x v="1"/>
    <x v="96"/>
    <x v="93"/>
    <x v="96"/>
    <x v="93"/>
    <x v="0"/>
  </r>
  <r>
    <x v="93"/>
    <x v="0"/>
    <x v="1"/>
    <x v="97"/>
    <x v="94"/>
    <x v="97"/>
    <x v="94"/>
    <x v="0"/>
  </r>
  <r>
    <x v="6"/>
    <x v="0"/>
    <x v="1"/>
    <x v="98"/>
    <x v="95"/>
    <x v="98"/>
    <x v="95"/>
    <x v="0"/>
  </r>
  <r>
    <x v="7"/>
    <x v="0"/>
    <x v="1"/>
    <x v="99"/>
    <x v="96"/>
    <x v="99"/>
    <x v="96"/>
    <x v="0"/>
  </r>
  <r>
    <x v="8"/>
    <x v="0"/>
    <x v="1"/>
    <x v="100"/>
    <x v="97"/>
    <x v="100"/>
    <x v="97"/>
    <x v="0"/>
  </r>
  <r>
    <x v="9"/>
    <x v="0"/>
    <x v="1"/>
    <x v="101"/>
    <x v="98"/>
    <x v="101"/>
    <x v="98"/>
    <x v="0"/>
  </r>
  <r>
    <x v="10"/>
    <x v="0"/>
    <x v="1"/>
    <x v="27"/>
    <x v="27"/>
    <x v="27"/>
    <x v="27"/>
    <x v="0"/>
  </r>
  <r>
    <x v="11"/>
    <x v="0"/>
    <x v="1"/>
    <x v="102"/>
    <x v="99"/>
    <x v="102"/>
    <x v="99"/>
    <x v="0"/>
  </r>
  <r>
    <x v="12"/>
    <x v="0"/>
    <x v="1"/>
    <x v="103"/>
    <x v="100"/>
    <x v="103"/>
    <x v="100"/>
    <x v="0"/>
  </r>
  <r>
    <x v="13"/>
    <x v="0"/>
    <x v="1"/>
    <x v="104"/>
    <x v="101"/>
    <x v="104"/>
    <x v="101"/>
    <x v="0"/>
  </r>
  <r>
    <x v="14"/>
    <x v="0"/>
    <x v="1"/>
    <x v="105"/>
    <x v="102"/>
    <x v="105"/>
    <x v="102"/>
    <x v="0"/>
  </r>
  <r>
    <x v="15"/>
    <x v="0"/>
    <x v="1"/>
    <x v="106"/>
    <x v="103"/>
    <x v="106"/>
    <x v="103"/>
    <x v="0"/>
  </r>
  <r>
    <x v="16"/>
    <x v="0"/>
    <x v="1"/>
    <x v="107"/>
    <x v="104"/>
    <x v="107"/>
    <x v="104"/>
    <x v="0"/>
  </r>
  <r>
    <x v="18"/>
    <x v="0"/>
    <x v="1"/>
    <x v="108"/>
    <x v="105"/>
    <x v="108"/>
    <x v="105"/>
    <x v="0"/>
  </r>
  <r>
    <x v="19"/>
    <x v="0"/>
    <x v="1"/>
    <x v="109"/>
    <x v="106"/>
    <x v="109"/>
    <x v="106"/>
    <x v="0"/>
  </r>
  <r>
    <x v="20"/>
    <x v="0"/>
    <x v="1"/>
    <x v="110"/>
    <x v="107"/>
    <x v="110"/>
    <x v="107"/>
    <x v="0"/>
  </r>
  <r>
    <x v="21"/>
    <x v="0"/>
    <x v="1"/>
    <x v="111"/>
    <x v="108"/>
    <x v="111"/>
    <x v="108"/>
    <x v="0"/>
  </r>
  <r>
    <x v="22"/>
    <x v="0"/>
    <x v="1"/>
    <x v="112"/>
    <x v="109"/>
    <x v="112"/>
    <x v="109"/>
    <x v="0"/>
  </r>
  <r>
    <x v="23"/>
    <x v="0"/>
    <x v="1"/>
    <x v="113"/>
    <x v="110"/>
    <x v="113"/>
    <x v="110"/>
    <x v="0"/>
  </r>
  <r>
    <x v="24"/>
    <x v="0"/>
    <x v="1"/>
    <x v="114"/>
    <x v="111"/>
    <x v="114"/>
    <x v="111"/>
    <x v="0"/>
  </r>
  <r>
    <x v="94"/>
    <x v="0"/>
    <x v="1"/>
    <x v="115"/>
    <x v="112"/>
    <x v="115"/>
    <x v="112"/>
    <x v="0"/>
  </r>
  <r>
    <x v="25"/>
    <x v="0"/>
    <x v="1"/>
    <x v="116"/>
    <x v="113"/>
    <x v="116"/>
    <x v="113"/>
    <x v="1"/>
  </r>
  <r>
    <x v="26"/>
    <x v="0"/>
    <x v="1"/>
    <x v="117"/>
    <x v="114"/>
    <x v="117"/>
    <x v="114"/>
    <x v="1"/>
  </r>
  <r>
    <x v="27"/>
    <x v="0"/>
    <x v="1"/>
    <x v="118"/>
    <x v="115"/>
    <x v="118"/>
    <x v="115"/>
    <x v="1"/>
  </r>
  <r>
    <x v="28"/>
    <x v="0"/>
    <x v="1"/>
    <x v="119"/>
    <x v="116"/>
    <x v="119"/>
    <x v="116"/>
    <x v="1"/>
  </r>
  <r>
    <x v="29"/>
    <x v="0"/>
    <x v="1"/>
    <x v="120"/>
    <x v="117"/>
    <x v="120"/>
    <x v="117"/>
    <x v="1"/>
  </r>
  <r>
    <x v="30"/>
    <x v="0"/>
    <x v="1"/>
    <x v="121"/>
    <x v="118"/>
    <x v="121"/>
    <x v="118"/>
    <x v="1"/>
  </r>
  <r>
    <x v="31"/>
    <x v="0"/>
    <x v="1"/>
    <x v="122"/>
    <x v="119"/>
    <x v="122"/>
    <x v="119"/>
    <x v="1"/>
  </r>
  <r>
    <x v="32"/>
    <x v="0"/>
    <x v="1"/>
    <x v="123"/>
    <x v="120"/>
    <x v="123"/>
    <x v="120"/>
    <x v="1"/>
  </r>
  <r>
    <x v="33"/>
    <x v="0"/>
    <x v="1"/>
    <x v="124"/>
    <x v="121"/>
    <x v="124"/>
    <x v="121"/>
    <x v="1"/>
  </r>
  <r>
    <x v="95"/>
    <x v="0"/>
    <x v="1"/>
    <x v="125"/>
    <x v="122"/>
    <x v="125"/>
    <x v="122"/>
    <x v="1"/>
  </r>
  <r>
    <x v="34"/>
    <x v="0"/>
    <x v="1"/>
    <x v="126"/>
    <x v="123"/>
    <x v="126"/>
    <x v="123"/>
    <x v="1"/>
  </r>
  <r>
    <x v="35"/>
    <x v="0"/>
    <x v="1"/>
    <x v="127"/>
    <x v="124"/>
    <x v="127"/>
    <x v="124"/>
    <x v="1"/>
  </r>
  <r>
    <x v="36"/>
    <x v="0"/>
    <x v="1"/>
    <x v="128"/>
    <x v="125"/>
    <x v="128"/>
    <x v="125"/>
    <x v="1"/>
  </r>
  <r>
    <x v="37"/>
    <x v="0"/>
    <x v="1"/>
    <x v="129"/>
    <x v="126"/>
    <x v="129"/>
    <x v="126"/>
    <x v="1"/>
  </r>
  <r>
    <x v="38"/>
    <x v="0"/>
    <x v="1"/>
    <x v="130"/>
    <x v="127"/>
    <x v="130"/>
    <x v="127"/>
    <x v="1"/>
  </r>
  <r>
    <x v="96"/>
    <x v="0"/>
    <x v="1"/>
    <x v="131"/>
    <x v="128"/>
    <x v="131"/>
    <x v="128"/>
    <x v="1"/>
  </r>
  <r>
    <x v="39"/>
    <x v="0"/>
    <x v="1"/>
    <x v="132"/>
    <x v="129"/>
    <x v="132"/>
    <x v="129"/>
    <x v="1"/>
  </r>
  <r>
    <x v="40"/>
    <x v="0"/>
    <x v="1"/>
    <x v="133"/>
    <x v="130"/>
    <x v="133"/>
    <x v="130"/>
    <x v="1"/>
  </r>
  <r>
    <x v="41"/>
    <x v="0"/>
    <x v="1"/>
    <x v="134"/>
    <x v="131"/>
    <x v="134"/>
    <x v="131"/>
    <x v="1"/>
  </r>
  <r>
    <x v="42"/>
    <x v="0"/>
    <x v="1"/>
    <x v="135"/>
    <x v="132"/>
    <x v="135"/>
    <x v="132"/>
    <x v="1"/>
  </r>
  <r>
    <x v="43"/>
    <x v="0"/>
    <x v="1"/>
    <x v="136"/>
    <x v="133"/>
    <x v="136"/>
    <x v="133"/>
    <x v="1"/>
  </r>
  <r>
    <x v="97"/>
    <x v="0"/>
    <x v="1"/>
    <x v="137"/>
    <x v="134"/>
    <x v="137"/>
    <x v="134"/>
    <x v="1"/>
  </r>
  <r>
    <x v="44"/>
    <x v="0"/>
    <x v="1"/>
    <x v="138"/>
    <x v="135"/>
    <x v="138"/>
    <x v="135"/>
    <x v="1"/>
  </r>
  <r>
    <x v="45"/>
    <x v="0"/>
    <x v="1"/>
    <x v="139"/>
    <x v="136"/>
    <x v="139"/>
    <x v="136"/>
    <x v="1"/>
  </r>
  <r>
    <x v="98"/>
    <x v="0"/>
    <x v="1"/>
    <x v="140"/>
    <x v="137"/>
    <x v="140"/>
    <x v="137"/>
    <x v="1"/>
  </r>
  <r>
    <x v="46"/>
    <x v="0"/>
    <x v="1"/>
    <x v="141"/>
    <x v="138"/>
    <x v="141"/>
    <x v="138"/>
    <x v="1"/>
  </r>
  <r>
    <x v="47"/>
    <x v="0"/>
    <x v="1"/>
    <x v="142"/>
    <x v="139"/>
    <x v="142"/>
    <x v="139"/>
    <x v="1"/>
  </r>
  <r>
    <x v="48"/>
    <x v="0"/>
    <x v="1"/>
    <x v="143"/>
    <x v="140"/>
    <x v="143"/>
    <x v="140"/>
    <x v="2"/>
  </r>
  <r>
    <x v="49"/>
    <x v="0"/>
    <x v="1"/>
    <x v="144"/>
    <x v="141"/>
    <x v="144"/>
    <x v="141"/>
    <x v="2"/>
  </r>
  <r>
    <x v="50"/>
    <x v="0"/>
    <x v="1"/>
    <x v="145"/>
    <x v="142"/>
    <x v="145"/>
    <x v="142"/>
    <x v="2"/>
  </r>
  <r>
    <x v="51"/>
    <x v="0"/>
    <x v="1"/>
    <x v="146"/>
    <x v="143"/>
    <x v="146"/>
    <x v="143"/>
    <x v="2"/>
  </r>
  <r>
    <x v="52"/>
    <x v="0"/>
    <x v="1"/>
    <x v="147"/>
    <x v="144"/>
    <x v="147"/>
    <x v="144"/>
    <x v="2"/>
  </r>
  <r>
    <x v="53"/>
    <x v="0"/>
    <x v="1"/>
    <x v="148"/>
    <x v="145"/>
    <x v="148"/>
    <x v="145"/>
    <x v="2"/>
  </r>
  <r>
    <x v="54"/>
    <x v="0"/>
    <x v="1"/>
    <x v="149"/>
    <x v="146"/>
    <x v="149"/>
    <x v="146"/>
    <x v="2"/>
  </r>
  <r>
    <x v="55"/>
    <x v="0"/>
    <x v="1"/>
    <x v="150"/>
    <x v="147"/>
    <x v="150"/>
    <x v="147"/>
    <x v="2"/>
  </r>
  <r>
    <x v="56"/>
    <x v="0"/>
    <x v="1"/>
    <x v="151"/>
    <x v="148"/>
    <x v="151"/>
    <x v="148"/>
    <x v="2"/>
  </r>
  <r>
    <x v="57"/>
    <x v="0"/>
    <x v="1"/>
    <x v="152"/>
    <x v="149"/>
    <x v="152"/>
    <x v="149"/>
    <x v="2"/>
  </r>
  <r>
    <x v="99"/>
    <x v="0"/>
    <x v="1"/>
    <x v="153"/>
    <x v="150"/>
    <x v="153"/>
    <x v="150"/>
    <x v="2"/>
  </r>
  <r>
    <x v="100"/>
    <x v="0"/>
    <x v="1"/>
    <x v="154"/>
    <x v="151"/>
    <x v="154"/>
    <x v="151"/>
    <x v="2"/>
  </r>
  <r>
    <x v="101"/>
    <x v="0"/>
    <x v="1"/>
    <x v="155"/>
    <x v="152"/>
    <x v="155"/>
    <x v="152"/>
    <x v="2"/>
  </r>
  <r>
    <x v="59"/>
    <x v="0"/>
    <x v="1"/>
    <x v="156"/>
    <x v="153"/>
    <x v="156"/>
    <x v="153"/>
    <x v="2"/>
  </r>
  <r>
    <x v="60"/>
    <x v="0"/>
    <x v="1"/>
    <x v="157"/>
    <x v="154"/>
    <x v="157"/>
    <x v="154"/>
    <x v="2"/>
  </r>
  <r>
    <x v="61"/>
    <x v="0"/>
    <x v="1"/>
    <x v="158"/>
    <x v="155"/>
    <x v="158"/>
    <x v="155"/>
    <x v="2"/>
  </r>
  <r>
    <x v="62"/>
    <x v="0"/>
    <x v="1"/>
    <x v="159"/>
    <x v="156"/>
    <x v="159"/>
    <x v="156"/>
    <x v="2"/>
  </r>
  <r>
    <x v="63"/>
    <x v="0"/>
    <x v="1"/>
    <x v="160"/>
    <x v="157"/>
    <x v="160"/>
    <x v="157"/>
    <x v="2"/>
  </r>
  <r>
    <x v="64"/>
    <x v="0"/>
    <x v="1"/>
    <x v="161"/>
    <x v="158"/>
    <x v="161"/>
    <x v="158"/>
    <x v="2"/>
  </r>
  <r>
    <x v="65"/>
    <x v="0"/>
    <x v="1"/>
    <x v="162"/>
    <x v="159"/>
    <x v="162"/>
    <x v="159"/>
    <x v="2"/>
  </r>
  <r>
    <x v="66"/>
    <x v="0"/>
    <x v="1"/>
    <x v="163"/>
    <x v="160"/>
    <x v="163"/>
    <x v="160"/>
    <x v="2"/>
  </r>
  <r>
    <x v="67"/>
    <x v="0"/>
    <x v="1"/>
    <x v="164"/>
    <x v="161"/>
    <x v="164"/>
    <x v="161"/>
    <x v="3"/>
  </r>
  <r>
    <x v="102"/>
    <x v="0"/>
    <x v="1"/>
    <x v="165"/>
    <x v="162"/>
    <x v="165"/>
    <x v="162"/>
    <x v="3"/>
  </r>
  <r>
    <x v="103"/>
    <x v="0"/>
    <x v="1"/>
    <x v="166"/>
    <x v="163"/>
    <x v="166"/>
    <x v="163"/>
    <x v="3"/>
  </r>
  <r>
    <x v="104"/>
    <x v="0"/>
    <x v="1"/>
    <x v="167"/>
    <x v="164"/>
    <x v="167"/>
    <x v="164"/>
    <x v="3"/>
  </r>
  <r>
    <x v="68"/>
    <x v="0"/>
    <x v="1"/>
    <x v="168"/>
    <x v="165"/>
    <x v="168"/>
    <x v="165"/>
    <x v="3"/>
  </r>
  <r>
    <x v="70"/>
    <x v="0"/>
    <x v="1"/>
    <x v="169"/>
    <x v="166"/>
    <x v="169"/>
    <x v="166"/>
    <x v="3"/>
  </r>
  <r>
    <x v="71"/>
    <x v="0"/>
    <x v="1"/>
    <x v="170"/>
    <x v="167"/>
    <x v="170"/>
    <x v="167"/>
    <x v="3"/>
  </r>
  <r>
    <x v="72"/>
    <x v="0"/>
    <x v="1"/>
    <x v="171"/>
    <x v="168"/>
    <x v="171"/>
    <x v="168"/>
    <x v="3"/>
  </r>
  <r>
    <x v="73"/>
    <x v="0"/>
    <x v="1"/>
    <x v="172"/>
    <x v="169"/>
    <x v="172"/>
    <x v="169"/>
    <x v="3"/>
  </r>
  <r>
    <x v="74"/>
    <x v="0"/>
    <x v="1"/>
    <x v="173"/>
    <x v="170"/>
    <x v="173"/>
    <x v="170"/>
    <x v="3"/>
  </r>
  <r>
    <x v="75"/>
    <x v="0"/>
    <x v="1"/>
    <x v="174"/>
    <x v="171"/>
    <x v="174"/>
    <x v="171"/>
    <x v="3"/>
  </r>
  <r>
    <x v="76"/>
    <x v="0"/>
    <x v="1"/>
    <x v="175"/>
    <x v="172"/>
    <x v="175"/>
    <x v="172"/>
    <x v="3"/>
  </r>
  <r>
    <x v="105"/>
    <x v="0"/>
    <x v="1"/>
    <x v="176"/>
    <x v="173"/>
    <x v="176"/>
    <x v="173"/>
    <x v="3"/>
  </r>
  <r>
    <x v="106"/>
    <x v="0"/>
    <x v="1"/>
    <x v="177"/>
    <x v="174"/>
    <x v="177"/>
    <x v="174"/>
    <x v="3"/>
  </r>
  <r>
    <x v="77"/>
    <x v="0"/>
    <x v="1"/>
    <x v="178"/>
    <x v="175"/>
    <x v="178"/>
    <x v="175"/>
    <x v="3"/>
  </r>
  <r>
    <x v="107"/>
    <x v="0"/>
    <x v="1"/>
    <x v="179"/>
    <x v="176"/>
    <x v="179"/>
    <x v="176"/>
    <x v="3"/>
  </r>
  <r>
    <x v="78"/>
    <x v="0"/>
    <x v="1"/>
    <x v="180"/>
    <x v="177"/>
    <x v="180"/>
    <x v="177"/>
    <x v="3"/>
  </r>
  <r>
    <x v="79"/>
    <x v="0"/>
    <x v="1"/>
    <x v="181"/>
    <x v="178"/>
    <x v="181"/>
    <x v="178"/>
    <x v="3"/>
  </r>
  <r>
    <x v="80"/>
    <x v="0"/>
    <x v="1"/>
    <x v="182"/>
    <x v="179"/>
    <x v="182"/>
    <x v="179"/>
    <x v="3"/>
  </r>
  <r>
    <x v="81"/>
    <x v="0"/>
    <x v="1"/>
    <x v="183"/>
    <x v="180"/>
    <x v="183"/>
    <x v="180"/>
    <x v="3"/>
  </r>
  <r>
    <x v="108"/>
    <x v="0"/>
    <x v="1"/>
    <x v="184"/>
    <x v="181"/>
    <x v="184"/>
    <x v="181"/>
    <x v="3"/>
  </r>
  <r>
    <x v="82"/>
    <x v="0"/>
    <x v="1"/>
    <x v="185"/>
    <x v="182"/>
    <x v="185"/>
    <x v="182"/>
    <x v="3"/>
  </r>
  <r>
    <x v="83"/>
    <x v="0"/>
    <x v="1"/>
    <x v="186"/>
    <x v="183"/>
    <x v="186"/>
    <x v="183"/>
    <x v="3"/>
  </r>
  <r>
    <x v="84"/>
    <x v="0"/>
    <x v="1"/>
    <x v="187"/>
    <x v="184"/>
    <x v="187"/>
    <x v="184"/>
    <x v="3"/>
  </r>
  <r>
    <x v="109"/>
    <x v="0"/>
    <x v="1"/>
    <x v="188"/>
    <x v="185"/>
    <x v="188"/>
    <x v="185"/>
    <x v="3"/>
  </r>
  <r>
    <x v="85"/>
    <x v="0"/>
    <x v="1"/>
    <x v="189"/>
    <x v="186"/>
    <x v="189"/>
    <x v="186"/>
    <x v="3"/>
  </r>
  <r>
    <x v="86"/>
    <x v="0"/>
    <x v="1"/>
    <x v="190"/>
    <x v="187"/>
    <x v="190"/>
    <x v="187"/>
    <x v="4"/>
  </r>
  <r>
    <x v="110"/>
    <x v="0"/>
    <x v="1"/>
    <x v="191"/>
    <x v="188"/>
    <x v="191"/>
    <x v="188"/>
    <x v="4"/>
  </r>
  <r>
    <x v="88"/>
    <x v="0"/>
    <x v="1"/>
    <x v="192"/>
    <x v="189"/>
    <x v="192"/>
    <x v="189"/>
    <x v="4"/>
  </r>
  <r>
    <x v="89"/>
    <x v="0"/>
    <x v="1"/>
    <x v="193"/>
    <x v="190"/>
    <x v="193"/>
    <x v="190"/>
    <x v="4"/>
  </r>
  <r>
    <x v="111"/>
    <x v="0"/>
    <x v="1"/>
    <x v="194"/>
    <x v="191"/>
    <x v="194"/>
    <x v="191"/>
    <x v="4"/>
  </r>
  <r>
    <x v="90"/>
    <x v="0"/>
    <x v="1"/>
    <x v="195"/>
    <x v="192"/>
    <x v="195"/>
    <x v="192"/>
    <x v="4"/>
  </r>
  <r>
    <x v="91"/>
    <x v="0"/>
    <x v="1"/>
    <x v="196"/>
    <x v="193"/>
    <x v="196"/>
    <x v="193"/>
    <x v="4"/>
  </r>
  <r>
    <x v="92"/>
    <x v="0"/>
    <x v="1"/>
    <x v="197"/>
    <x v="194"/>
    <x v="197"/>
    <x v="194"/>
    <x v="4"/>
  </r>
  <r>
    <x v="112"/>
    <x v="0"/>
    <x v="2"/>
    <x v="198"/>
    <x v="195"/>
    <x v="198"/>
    <x v="195"/>
    <x v="1"/>
  </r>
  <r>
    <x v="29"/>
    <x v="0"/>
    <x v="2"/>
    <x v="199"/>
    <x v="195"/>
    <x v="199"/>
    <x v="195"/>
    <x v="1"/>
  </r>
  <r>
    <x v="31"/>
    <x v="0"/>
    <x v="2"/>
    <x v="200"/>
    <x v="195"/>
    <x v="200"/>
    <x v="195"/>
    <x v="1"/>
  </r>
  <r>
    <x v="32"/>
    <x v="0"/>
    <x v="2"/>
    <x v="201"/>
    <x v="195"/>
    <x v="201"/>
    <x v="195"/>
    <x v="1"/>
  </r>
  <r>
    <x v="113"/>
    <x v="0"/>
    <x v="2"/>
    <x v="202"/>
    <x v="195"/>
    <x v="202"/>
    <x v="195"/>
    <x v="1"/>
  </r>
  <r>
    <x v="34"/>
    <x v="0"/>
    <x v="2"/>
    <x v="203"/>
    <x v="195"/>
    <x v="203"/>
    <x v="195"/>
    <x v="1"/>
  </r>
  <r>
    <x v="35"/>
    <x v="0"/>
    <x v="2"/>
    <x v="204"/>
    <x v="195"/>
    <x v="204"/>
    <x v="195"/>
    <x v="1"/>
  </r>
  <r>
    <x v="36"/>
    <x v="0"/>
    <x v="2"/>
    <x v="205"/>
    <x v="195"/>
    <x v="205"/>
    <x v="195"/>
    <x v="1"/>
  </r>
  <r>
    <x v="38"/>
    <x v="0"/>
    <x v="2"/>
    <x v="206"/>
    <x v="195"/>
    <x v="206"/>
    <x v="195"/>
    <x v="1"/>
  </r>
  <r>
    <x v="96"/>
    <x v="0"/>
    <x v="2"/>
    <x v="207"/>
    <x v="195"/>
    <x v="207"/>
    <x v="195"/>
    <x v="1"/>
  </r>
  <r>
    <x v="114"/>
    <x v="0"/>
    <x v="2"/>
    <x v="208"/>
    <x v="195"/>
    <x v="208"/>
    <x v="195"/>
    <x v="1"/>
  </r>
  <r>
    <x v="39"/>
    <x v="0"/>
    <x v="2"/>
    <x v="209"/>
    <x v="195"/>
    <x v="209"/>
    <x v="195"/>
    <x v="1"/>
  </r>
  <r>
    <x v="40"/>
    <x v="0"/>
    <x v="2"/>
    <x v="210"/>
    <x v="195"/>
    <x v="210"/>
    <x v="195"/>
    <x v="1"/>
  </r>
  <r>
    <x v="41"/>
    <x v="0"/>
    <x v="2"/>
    <x v="211"/>
    <x v="195"/>
    <x v="211"/>
    <x v="195"/>
    <x v="1"/>
  </r>
  <r>
    <x v="43"/>
    <x v="0"/>
    <x v="2"/>
    <x v="212"/>
    <x v="195"/>
    <x v="212"/>
    <x v="195"/>
    <x v="1"/>
  </r>
  <r>
    <x v="97"/>
    <x v="0"/>
    <x v="2"/>
    <x v="213"/>
    <x v="195"/>
    <x v="213"/>
    <x v="195"/>
    <x v="1"/>
  </r>
  <r>
    <x v="115"/>
    <x v="0"/>
    <x v="2"/>
    <x v="214"/>
    <x v="195"/>
    <x v="214"/>
    <x v="195"/>
    <x v="1"/>
  </r>
  <r>
    <x v="44"/>
    <x v="0"/>
    <x v="2"/>
    <x v="215"/>
    <x v="195"/>
    <x v="215"/>
    <x v="195"/>
    <x v="1"/>
  </r>
  <r>
    <x v="45"/>
    <x v="0"/>
    <x v="2"/>
    <x v="216"/>
    <x v="195"/>
    <x v="216"/>
    <x v="195"/>
    <x v="1"/>
  </r>
  <r>
    <x v="98"/>
    <x v="0"/>
    <x v="2"/>
    <x v="217"/>
    <x v="195"/>
    <x v="217"/>
    <x v="195"/>
    <x v="1"/>
  </r>
  <r>
    <x v="47"/>
    <x v="0"/>
    <x v="2"/>
    <x v="218"/>
    <x v="195"/>
    <x v="218"/>
    <x v="195"/>
    <x v="1"/>
  </r>
  <r>
    <x v="48"/>
    <x v="0"/>
    <x v="2"/>
    <x v="219"/>
    <x v="195"/>
    <x v="219"/>
    <x v="195"/>
    <x v="2"/>
  </r>
  <r>
    <x v="116"/>
    <x v="0"/>
    <x v="2"/>
    <x v="220"/>
    <x v="195"/>
    <x v="220"/>
    <x v="195"/>
    <x v="2"/>
  </r>
  <r>
    <x v="49"/>
    <x v="0"/>
    <x v="2"/>
    <x v="221"/>
    <x v="195"/>
    <x v="221"/>
    <x v="195"/>
    <x v="2"/>
  </r>
  <r>
    <x v="50"/>
    <x v="0"/>
    <x v="2"/>
    <x v="222"/>
    <x v="195"/>
    <x v="222"/>
    <x v="195"/>
    <x v="2"/>
  </r>
  <r>
    <x v="51"/>
    <x v="0"/>
    <x v="2"/>
    <x v="223"/>
    <x v="195"/>
    <x v="223"/>
    <x v="195"/>
    <x v="2"/>
  </r>
  <r>
    <x v="53"/>
    <x v="0"/>
    <x v="2"/>
    <x v="224"/>
    <x v="195"/>
    <x v="224"/>
    <x v="195"/>
    <x v="2"/>
  </r>
  <r>
    <x v="54"/>
    <x v="0"/>
    <x v="2"/>
    <x v="149"/>
    <x v="195"/>
    <x v="149"/>
    <x v="195"/>
    <x v="2"/>
  </r>
  <r>
    <x v="117"/>
    <x v="0"/>
    <x v="2"/>
    <x v="225"/>
    <x v="195"/>
    <x v="225"/>
    <x v="195"/>
    <x v="2"/>
  </r>
  <r>
    <x v="55"/>
    <x v="0"/>
    <x v="2"/>
    <x v="226"/>
    <x v="195"/>
    <x v="226"/>
    <x v="195"/>
    <x v="2"/>
  </r>
  <r>
    <x v="56"/>
    <x v="0"/>
    <x v="2"/>
    <x v="227"/>
    <x v="195"/>
    <x v="227"/>
    <x v="195"/>
    <x v="2"/>
  </r>
  <r>
    <x v="57"/>
    <x v="0"/>
    <x v="2"/>
    <x v="228"/>
    <x v="195"/>
    <x v="228"/>
    <x v="195"/>
    <x v="2"/>
  </r>
  <r>
    <x v="100"/>
    <x v="0"/>
    <x v="2"/>
    <x v="229"/>
    <x v="195"/>
    <x v="229"/>
    <x v="195"/>
    <x v="2"/>
  </r>
  <r>
    <x v="101"/>
    <x v="0"/>
    <x v="2"/>
    <x v="230"/>
    <x v="195"/>
    <x v="230"/>
    <x v="195"/>
    <x v="2"/>
  </r>
  <r>
    <x v="59"/>
    <x v="0"/>
    <x v="2"/>
    <x v="231"/>
    <x v="195"/>
    <x v="231"/>
    <x v="195"/>
    <x v="2"/>
  </r>
  <r>
    <x v="118"/>
    <x v="0"/>
    <x v="2"/>
    <x v="232"/>
    <x v="195"/>
    <x v="232"/>
    <x v="195"/>
    <x v="2"/>
  </r>
  <r>
    <x v="119"/>
    <x v="0"/>
    <x v="2"/>
    <x v="233"/>
    <x v="195"/>
    <x v="233"/>
    <x v="195"/>
    <x v="2"/>
  </r>
  <r>
    <x v="60"/>
    <x v="0"/>
    <x v="2"/>
    <x v="234"/>
    <x v="195"/>
    <x v="234"/>
    <x v="195"/>
    <x v="2"/>
  </r>
  <r>
    <x v="61"/>
    <x v="0"/>
    <x v="2"/>
    <x v="235"/>
    <x v="195"/>
    <x v="235"/>
    <x v="195"/>
    <x v="2"/>
  </r>
  <r>
    <x v="62"/>
    <x v="0"/>
    <x v="2"/>
    <x v="236"/>
    <x v="195"/>
    <x v="236"/>
    <x v="195"/>
    <x v="2"/>
  </r>
  <r>
    <x v="63"/>
    <x v="0"/>
    <x v="2"/>
    <x v="237"/>
    <x v="195"/>
    <x v="237"/>
    <x v="195"/>
    <x v="2"/>
  </r>
  <r>
    <x v="64"/>
    <x v="0"/>
    <x v="2"/>
    <x v="238"/>
    <x v="195"/>
    <x v="238"/>
    <x v="195"/>
    <x v="2"/>
  </r>
  <r>
    <x v="66"/>
    <x v="0"/>
    <x v="2"/>
    <x v="239"/>
    <x v="195"/>
    <x v="239"/>
    <x v="195"/>
    <x v="2"/>
  </r>
  <r>
    <x v="67"/>
    <x v="0"/>
    <x v="2"/>
    <x v="240"/>
    <x v="195"/>
    <x v="240"/>
    <x v="195"/>
    <x v="3"/>
  </r>
  <r>
    <x v="120"/>
    <x v="0"/>
    <x v="2"/>
    <x v="241"/>
    <x v="195"/>
    <x v="241"/>
    <x v="195"/>
    <x v="3"/>
  </r>
  <r>
    <x v="102"/>
    <x v="0"/>
    <x v="2"/>
    <x v="242"/>
    <x v="195"/>
    <x v="242"/>
    <x v="195"/>
    <x v="3"/>
  </r>
  <r>
    <x v="103"/>
    <x v="0"/>
    <x v="2"/>
    <x v="243"/>
    <x v="195"/>
    <x v="243"/>
    <x v="195"/>
    <x v="3"/>
  </r>
  <r>
    <x v="69"/>
    <x v="0"/>
    <x v="2"/>
    <x v="244"/>
    <x v="195"/>
    <x v="244"/>
    <x v="195"/>
    <x v="3"/>
  </r>
  <r>
    <x v="70"/>
    <x v="0"/>
    <x v="2"/>
    <x v="245"/>
    <x v="195"/>
    <x v="245"/>
    <x v="195"/>
    <x v="3"/>
  </r>
  <r>
    <x v="121"/>
    <x v="0"/>
    <x v="2"/>
    <x v="246"/>
    <x v="195"/>
    <x v="246"/>
    <x v="195"/>
    <x v="3"/>
  </r>
  <r>
    <x v="71"/>
    <x v="0"/>
    <x v="2"/>
    <x v="247"/>
    <x v="195"/>
    <x v="247"/>
    <x v="195"/>
    <x v="3"/>
  </r>
  <r>
    <x v="72"/>
    <x v="0"/>
    <x v="2"/>
    <x v="248"/>
    <x v="195"/>
    <x v="248"/>
    <x v="195"/>
    <x v="3"/>
  </r>
  <r>
    <x v="73"/>
    <x v="0"/>
    <x v="2"/>
    <x v="249"/>
    <x v="195"/>
    <x v="249"/>
    <x v="195"/>
    <x v="3"/>
  </r>
  <r>
    <x v="75"/>
    <x v="0"/>
    <x v="2"/>
    <x v="250"/>
    <x v="195"/>
    <x v="250"/>
    <x v="195"/>
    <x v="3"/>
  </r>
  <r>
    <x v="76"/>
    <x v="0"/>
    <x v="2"/>
    <x v="251"/>
    <x v="195"/>
    <x v="251"/>
    <x v="195"/>
    <x v="3"/>
  </r>
  <r>
    <x v="122"/>
    <x v="0"/>
    <x v="2"/>
    <x v="252"/>
    <x v="195"/>
    <x v="252"/>
    <x v="195"/>
    <x v="3"/>
  </r>
  <r>
    <x v="105"/>
    <x v="0"/>
    <x v="2"/>
    <x v="253"/>
    <x v="195"/>
    <x v="253"/>
    <x v="195"/>
    <x v="3"/>
  </r>
  <r>
    <x v="106"/>
    <x v="0"/>
    <x v="2"/>
    <x v="254"/>
    <x v="195"/>
    <x v="254"/>
    <x v="195"/>
    <x v="3"/>
  </r>
  <r>
    <x v="77"/>
    <x v="0"/>
    <x v="2"/>
    <x v="255"/>
    <x v="195"/>
    <x v="255"/>
    <x v="195"/>
    <x v="3"/>
  </r>
  <r>
    <x v="78"/>
    <x v="0"/>
    <x v="2"/>
    <x v="256"/>
    <x v="195"/>
    <x v="256"/>
    <x v="195"/>
    <x v="3"/>
  </r>
  <r>
    <x v="79"/>
    <x v="0"/>
    <x v="2"/>
    <x v="257"/>
    <x v="195"/>
    <x v="257"/>
    <x v="195"/>
    <x v="3"/>
  </r>
  <r>
    <x v="123"/>
    <x v="0"/>
    <x v="2"/>
    <x v="258"/>
    <x v="195"/>
    <x v="258"/>
    <x v="195"/>
    <x v="3"/>
  </r>
  <r>
    <x v="80"/>
    <x v="0"/>
    <x v="2"/>
    <x v="259"/>
    <x v="195"/>
    <x v="259"/>
    <x v="195"/>
    <x v="3"/>
  </r>
  <r>
    <x v="81"/>
    <x v="0"/>
    <x v="2"/>
    <x v="260"/>
    <x v="195"/>
    <x v="260"/>
    <x v="195"/>
    <x v="3"/>
  </r>
  <r>
    <x v="108"/>
    <x v="0"/>
    <x v="2"/>
    <x v="32"/>
    <x v="195"/>
    <x v="32"/>
    <x v="195"/>
    <x v="3"/>
  </r>
  <r>
    <x v="83"/>
    <x v="0"/>
    <x v="2"/>
    <x v="261"/>
    <x v="195"/>
    <x v="261"/>
    <x v="195"/>
    <x v="3"/>
  </r>
  <r>
    <x v="84"/>
    <x v="0"/>
    <x v="2"/>
    <x v="262"/>
    <x v="195"/>
    <x v="262"/>
    <x v="195"/>
    <x v="3"/>
  </r>
  <r>
    <x v="109"/>
    <x v="0"/>
    <x v="2"/>
    <x v="263"/>
    <x v="195"/>
    <x v="263"/>
    <x v="195"/>
    <x v="3"/>
  </r>
  <r>
    <x v="85"/>
    <x v="0"/>
    <x v="2"/>
    <x v="264"/>
    <x v="195"/>
    <x v="264"/>
    <x v="195"/>
    <x v="3"/>
  </r>
  <r>
    <x v="86"/>
    <x v="0"/>
    <x v="2"/>
    <x v="265"/>
    <x v="195"/>
    <x v="265"/>
    <x v="195"/>
    <x v="4"/>
  </r>
  <r>
    <x v="87"/>
    <x v="0"/>
    <x v="2"/>
    <x v="266"/>
    <x v="195"/>
    <x v="266"/>
    <x v="195"/>
    <x v="4"/>
  </r>
  <r>
    <x v="88"/>
    <x v="0"/>
    <x v="2"/>
    <x v="267"/>
    <x v="195"/>
    <x v="267"/>
    <x v="195"/>
    <x v="4"/>
  </r>
  <r>
    <x v="89"/>
    <x v="0"/>
    <x v="2"/>
    <x v="268"/>
    <x v="195"/>
    <x v="268"/>
    <x v="195"/>
    <x v="4"/>
  </r>
  <r>
    <x v="111"/>
    <x v="0"/>
    <x v="2"/>
    <x v="269"/>
    <x v="195"/>
    <x v="269"/>
    <x v="195"/>
    <x v="4"/>
  </r>
  <r>
    <x v="90"/>
    <x v="0"/>
    <x v="2"/>
    <x v="270"/>
    <x v="195"/>
    <x v="270"/>
    <x v="195"/>
    <x v="4"/>
  </r>
  <r>
    <x v="91"/>
    <x v="0"/>
    <x v="2"/>
    <x v="271"/>
    <x v="195"/>
    <x v="271"/>
    <x v="195"/>
    <x v="4"/>
  </r>
  <r>
    <x v="92"/>
    <x v="0"/>
    <x v="2"/>
    <x v="272"/>
    <x v="195"/>
    <x v="272"/>
    <x v="195"/>
    <x v="4"/>
  </r>
  <r>
    <x v="121"/>
    <x v="0"/>
    <x v="3"/>
    <x v="273"/>
    <x v="195"/>
    <x v="273"/>
    <x v="195"/>
    <x v="3"/>
  </r>
  <r>
    <x v="71"/>
    <x v="0"/>
    <x v="3"/>
    <x v="274"/>
    <x v="195"/>
    <x v="274"/>
    <x v="195"/>
    <x v="3"/>
  </r>
  <r>
    <x v="72"/>
    <x v="0"/>
    <x v="3"/>
    <x v="275"/>
    <x v="195"/>
    <x v="275"/>
    <x v="195"/>
    <x v="3"/>
  </r>
  <r>
    <x v="73"/>
    <x v="0"/>
    <x v="3"/>
    <x v="276"/>
    <x v="195"/>
    <x v="276"/>
    <x v="195"/>
    <x v="3"/>
  </r>
  <r>
    <x v="74"/>
    <x v="0"/>
    <x v="3"/>
    <x v="277"/>
    <x v="195"/>
    <x v="277"/>
    <x v="195"/>
    <x v="3"/>
  </r>
  <r>
    <x v="75"/>
    <x v="0"/>
    <x v="3"/>
    <x v="278"/>
    <x v="195"/>
    <x v="278"/>
    <x v="195"/>
    <x v="3"/>
  </r>
  <r>
    <x v="76"/>
    <x v="0"/>
    <x v="3"/>
    <x v="279"/>
    <x v="195"/>
    <x v="279"/>
    <x v="195"/>
    <x v="3"/>
  </r>
  <r>
    <x v="122"/>
    <x v="0"/>
    <x v="3"/>
    <x v="280"/>
    <x v="195"/>
    <x v="280"/>
    <x v="195"/>
    <x v="3"/>
  </r>
  <r>
    <x v="105"/>
    <x v="0"/>
    <x v="3"/>
    <x v="281"/>
    <x v="195"/>
    <x v="281"/>
    <x v="195"/>
    <x v="3"/>
  </r>
  <r>
    <x v="106"/>
    <x v="0"/>
    <x v="3"/>
    <x v="282"/>
    <x v="195"/>
    <x v="282"/>
    <x v="195"/>
    <x v="3"/>
  </r>
  <r>
    <x v="107"/>
    <x v="0"/>
    <x v="3"/>
    <x v="283"/>
    <x v="195"/>
    <x v="283"/>
    <x v="195"/>
    <x v="3"/>
  </r>
  <r>
    <x v="78"/>
    <x v="0"/>
    <x v="3"/>
    <x v="284"/>
    <x v="195"/>
    <x v="284"/>
    <x v="195"/>
    <x v="3"/>
  </r>
  <r>
    <x v="79"/>
    <x v="0"/>
    <x v="3"/>
    <x v="285"/>
    <x v="195"/>
    <x v="285"/>
    <x v="195"/>
    <x v="3"/>
  </r>
  <r>
    <x v="123"/>
    <x v="0"/>
    <x v="3"/>
    <x v="286"/>
    <x v="195"/>
    <x v="286"/>
    <x v="195"/>
    <x v="3"/>
  </r>
  <r>
    <x v="80"/>
    <x v="0"/>
    <x v="3"/>
    <x v="287"/>
    <x v="195"/>
    <x v="287"/>
    <x v="195"/>
    <x v="3"/>
  </r>
  <r>
    <x v="81"/>
    <x v="0"/>
    <x v="3"/>
    <x v="288"/>
    <x v="195"/>
    <x v="288"/>
    <x v="195"/>
    <x v="3"/>
  </r>
  <r>
    <x v="82"/>
    <x v="0"/>
    <x v="3"/>
    <x v="289"/>
    <x v="195"/>
    <x v="289"/>
    <x v="195"/>
    <x v="3"/>
  </r>
  <r>
    <x v="83"/>
    <x v="0"/>
    <x v="3"/>
    <x v="290"/>
    <x v="195"/>
    <x v="290"/>
    <x v="195"/>
    <x v="3"/>
  </r>
  <r>
    <x v="84"/>
    <x v="0"/>
    <x v="3"/>
    <x v="291"/>
    <x v="195"/>
    <x v="291"/>
    <x v="195"/>
    <x v="3"/>
  </r>
  <r>
    <x v="109"/>
    <x v="0"/>
    <x v="3"/>
    <x v="292"/>
    <x v="195"/>
    <x v="292"/>
    <x v="195"/>
    <x v="3"/>
  </r>
  <r>
    <x v="85"/>
    <x v="0"/>
    <x v="3"/>
    <x v="293"/>
    <x v="195"/>
    <x v="293"/>
    <x v="195"/>
    <x v="3"/>
  </r>
  <r>
    <x v="86"/>
    <x v="0"/>
    <x v="3"/>
    <x v="294"/>
    <x v="195"/>
    <x v="294"/>
    <x v="195"/>
    <x v="4"/>
  </r>
  <r>
    <x v="110"/>
    <x v="0"/>
    <x v="3"/>
    <x v="295"/>
    <x v="195"/>
    <x v="295"/>
    <x v="195"/>
    <x v="4"/>
  </r>
  <r>
    <x v="88"/>
    <x v="0"/>
    <x v="3"/>
    <x v="296"/>
    <x v="195"/>
    <x v="296"/>
    <x v="195"/>
    <x v="4"/>
  </r>
  <r>
    <x v="89"/>
    <x v="0"/>
    <x v="3"/>
    <x v="297"/>
    <x v="195"/>
    <x v="297"/>
    <x v="195"/>
    <x v="4"/>
  </r>
  <r>
    <x v="111"/>
    <x v="0"/>
    <x v="3"/>
    <x v="298"/>
    <x v="195"/>
    <x v="298"/>
    <x v="195"/>
    <x v="4"/>
  </r>
  <r>
    <x v="90"/>
    <x v="0"/>
    <x v="3"/>
    <x v="299"/>
    <x v="195"/>
    <x v="299"/>
    <x v="195"/>
    <x v="4"/>
  </r>
  <r>
    <x v="91"/>
    <x v="0"/>
    <x v="3"/>
    <x v="300"/>
    <x v="195"/>
    <x v="300"/>
    <x v="195"/>
    <x v="4"/>
  </r>
  <r>
    <x v="107"/>
    <x v="0"/>
    <x v="4"/>
    <x v="301"/>
    <x v="195"/>
    <x v="301"/>
    <x v="195"/>
    <x v="3"/>
  </r>
  <r>
    <x v="78"/>
    <x v="0"/>
    <x v="4"/>
    <x v="91"/>
    <x v="195"/>
    <x v="91"/>
    <x v="195"/>
    <x v="3"/>
  </r>
  <r>
    <x v="79"/>
    <x v="0"/>
    <x v="4"/>
    <x v="302"/>
    <x v="195"/>
    <x v="302"/>
    <x v="195"/>
    <x v="3"/>
  </r>
  <r>
    <x v="123"/>
    <x v="0"/>
    <x v="4"/>
    <x v="303"/>
    <x v="195"/>
    <x v="303"/>
    <x v="195"/>
    <x v="3"/>
  </r>
  <r>
    <x v="80"/>
    <x v="0"/>
    <x v="4"/>
    <x v="304"/>
    <x v="195"/>
    <x v="304"/>
    <x v="195"/>
    <x v="3"/>
  </r>
  <r>
    <x v="81"/>
    <x v="0"/>
    <x v="4"/>
    <x v="305"/>
    <x v="195"/>
    <x v="305"/>
    <x v="195"/>
    <x v="3"/>
  </r>
  <r>
    <x v="108"/>
    <x v="0"/>
    <x v="4"/>
    <x v="306"/>
    <x v="195"/>
    <x v="306"/>
    <x v="195"/>
    <x v="3"/>
  </r>
  <r>
    <x v="82"/>
    <x v="0"/>
    <x v="4"/>
    <x v="307"/>
    <x v="195"/>
    <x v="307"/>
    <x v="195"/>
    <x v="3"/>
  </r>
  <r>
    <x v="84"/>
    <x v="0"/>
    <x v="4"/>
    <x v="308"/>
    <x v="195"/>
    <x v="308"/>
    <x v="195"/>
    <x v="3"/>
  </r>
  <r>
    <x v="85"/>
    <x v="0"/>
    <x v="4"/>
    <x v="309"/>
    <x v="195"/>
    <x v="309"/>
    <x v="195"/>
    <x v="3"/>
  </r>
  <r>
    <x v="86"/>
    <x v="0"/>
    <x v="4"/>
    <x v="310"/>
    <x v="195"/>
    <x v="310"/>
    <x v="195"/>
    <x v="4"/>
  </r>
  <r>
    <x v="87"/>
    <x v="0"/>
    <x v="4"/>
    <x v="311"/>
    <x v="195"/>
    <x v="311"/>
    <x v="195"/>
    <x v="4"/>
  </r>
  <r>
    <x v="88"/>
    <x v="0"/>
    <x v="4"/>
    <x v="312"/>
    <x v="195"/>
    <x v="312"/>
    <x v="195"/>
    <x v="4"/>
  </r>
  <r>
    <x v="89"/>
    <x v="0"/>
    <x v="4"/>
    <x v="313"/>
    <x v="195"/>
    <x v="313"/>
    <x v="195"/>
    <x v="4"/>
  </r>
  <r>
    <x v="90"/>
    <x v="0"/>
    <x v="4"/>
    <x v="310"/>
    <x v="195"/>
    <x v="310"/>
    <x v="195"/>
    <x v="4"/>
  </r>
  <r>
    <x v="91"/>
    <x v="0"/>
    <x v="4"/>
    <x v="314"/>
    <x v="195"/>
    <x v="314"/>
    <x v="195"/>
    <x v="4"/>
  </r>
  <r>
    <x v="92"/>
    <x v="0"/>
    <x v="4"/>
    <x v="315"/>
    <x v="195"/>
    <x v="315"/>
    <x v="195"/>
    <x v="4"/>
  </r>
  <r>
    <x v="87"/>
    <x v="0"/>
    <x v="5"/>
    <x v="316"/>
    <x v="195"/>
    <x v="316"/>
    <x v="195"/>
    <x v="4"/>
  </r>
  <r>
    <x v="110"/>
    <x v="0"/>
    <x v="5"/>
    <x v="317"/>
    <x v="195"/>
    <x v="317"/>
    <x v="195"/>
    <x v="4"/>
  </r>
  <r>
    <x v="88"/>
    <x v="0"/>
    <x v="5"/>
    <x v="318"/>
    <x v="195"/>
    <x v="318"/>
    <x v="195"/>
    <x v="4"/>
  </r>
  <r>
    <x v="89"/>
    <x v="0"/>
    <x v="5"/>
    <x v="319"/>
    <x v="195"/>
    <x v="319"/>
    <x v="195"/>
    <x v="4"/>
  </r>
  <r>
    <x v="111"/>
    <x v="0"/>
    <x v="5"/>
    <x v="320"/>
    <x v="195"/>
    <x v="320"/>
    <x v="195"/>
    <x v="4"/>
  </r>
  <r>
    <x v="91"/>
    <x v="0"/>
    <x v="5"/>
    <x v="321"/>
    <x v="195"/>
    <x v="321"/>
    <x v="195"/>
    <x v="4"/>
  </r>
  <r>
    <x v="92"/>
    <x v="0"/>
    <x v="5"/>
    <x v="85"/>
    <x v="195"/>
    <x v="85"/>
    <x v="195"/>
    <x v="4"/>
  </r>
  <r>
    <x v="110"/>
    <x v="0"/>
    <x v="6"/>
    <x v="322"/>
    <x v="195"/>
    <x v="322"/>
    <x v="195"/>
    <x v="4"/>
  </r>
  <r>
    <x v="88"/>
    <x v="0"/>
    <x v="6"/>
    <x v="323"/>
    <x v="195"/>
    <x v="323"/>
    <x v="195"/>
    <x v="4"/>
  </r>
  <r>
    <x v="89"/>
    <x v="0"/>
    <x v="6"/>
    <x v="324"/>
    <x v="195"/>
    <x v="324"/>
    <x v="195"/>
    <x v="4"/>
  </r>
  <r>
    <x v="111"/>
    <x v="0"/>
    <x v="6"/>
    <x v="317"/>
    <x v="195"/>
    <x v="317"/>
    <x v="195"/>
    <x v="4"/>
  </r>
  <r>
    <x v="90"/>
    <x v="0"/>
    <x v="6"/>
    <x v="325"/>
    <x v="195"/>
    <x v="325"/>
    <x v="195"/>
    <x v="4"/>
  </r>
  <r>
    <x v="92"/>
    <x v="0"/>
    <x v="6"/>
    <x v="45"/>
    <x v="195"/>
    <x v="45"/>
    <x v="195"/>
    <x v="4"/>
  </r>
  <r>
    <x v="40"/>
    <x v="1"/>
    <x v="0"/>
    <x v="326"/>
    <x v="196"/>
    <x v="326"/>
    <x v="196"/>
    <x v="1"/>
  </r>
  <r>
    <x v="41"/>
    <x v="1"/>
    <x v="0"/>
    <x v="327"/>
    <x v="197"/>
    <x v="327"/>
    <x v="197"/>
    <x v="1"/>
  </r>
  <r>
    <x v="43"/>
    <x v="1"/>
    <x v="0"/>
    <x v="328"/>
    <x v="198"/>
    <x v="328"/>
    <x v="198"/>
    <x v="1"/>
  </r>
  <r>
    <x v="97"/>
    <x v="1"/>
    <x v="0"/>
    <x v="329"/>
    <x v="199"/>
    <x v="329"/>
    <x v="199"/>
    <x v="1"/>
  </r>
  <r>
    <x v="98"/>
    <x v="1"/>
    <x v="0"/>
    <x v="330"/>
    <x v="200"/>
    <x v="330"/>
    <x v="200"/>
    <x v="1"/>
  </r>
  <r>
    <x v="46"/>
    <x v="1"/>
    <x v="0"/>
    <x v="331"/>
    <x v="201"/>
    <x v="331"/>
    <x v="201"/>
    <x v="1"/>
  </r>
  <r>
    <x v="47"/>
    <x v="1"/>
    <x v="0"/>
    <x v="332"/>
    <x v="202"/>
    <x v="332"/>
    <x v="202"/>
    <x v="1"/>
  </r>
  <r>
    <x v="48"/>
    <x v="1"/>
    <x v="0"/>
    <x v="333"/>
    <x v="203"/>
    <x v="333"/>
    <x v="203"/>
    <x v="2"/>
  </r>
  <r>
    <x v="116"/>
    <x v="1"/>
    <x v="0"/>
    <x v="334"/>
    <x v="204"/>
    <x v="334"/>
    <x v="204"/>
    <x v="2"/>
  </r>
  <r>
    <x v="49"/>
    <x v="1"/>
    <x v="0"/>
    <x v="335"/>
    <x v="205"/>
    <x v="335"/>
    <x v="205"/>
    <x v="2"/>
  </r>
  <r>
    <x v="50"/>
    <x v="1"/>
    <x v="0"/>
    <x v="336"/>
    <x v="206"/>
    <x v="336"/>
    <x v="206"/>
    <x v="2"/>
  </r>
  <r>
    <x v="51"/>
    <x v="1"/>
    <x v="0"/>
    <x v="337"/>
    <x v="207"/>
    <x v="337"/>
    <x v="207"/>
    <x v="2"/>
  </r>
  <r>
    <x v="52"/>
    <x v="1"/>
    <x v="0"/>
    <x v="338"/>
    <x v="208"/>
    <x v="338"/>
    <x v="208"/>
    <x v="2"/>
  </r>
  <r>
    <x v="53"/>
    <x v="1"/>
    <x v="0"/>
    <x v="339"/>
    <x v="209"/>
    <x v="339"/>
    <x v="209"/>
    <x v="2"/>
  </r>
  <r>
    <x v="54"/>
    <x v="1"/>
    <x v="0"/>
    <x v="340"/>
    <x v="210"/>
    <x v="340"/>
    <x v="210"/>
    <x v="2"/>
  </r>
  <r>
    <x v="117"/>
    <x v="1"/>
    <x v="0"/>
    <x v="341"/>
    <x v="211"/>
    <x v="341"/>
    <x v="211"/>
    <x v="2"/>
  </r>
  <r>
    <x v="55"/>
    <x v="1"/>
    <x v="0"/>
    <x v="342"/>
    <x v="212"/>
    <x v="342"/>
    <x v="212"/>
    <x v="2"/>
  </r>
  <r>
    <x v="56"/>
    <x v="1"/>
    <x v="0"/>
    <x v="343"/>
    <x v="213"/>
    <x v="343"/>
    <x v="213"/>
    <x v="2"/>
  </r>
  <r>
    <x v="57"/>
    <x v="1"/>
    <x v="0"/>
    <x v="344"/>
    <x v="214"/>
    <x v="344"/>
    <x v="214"/>
    <x v="2"/>
  </r>
  <r>
    <x v="99"/>
    <x v="1"/>
    <x v="0"/>
    <x v="345"/>
    <x v="215"/>
    <x v="345"/>
    <x v="215"/>
    <x v="2"/>
  </r>
  <r>
    <x v="124"/>
    <x v="1"/>
    <x v="0"/>
    <x v="346"/>
    <x v="216"/>
    <x v="346"/>
    <x v="216"/>
    <x v="2"/>
  </r>
  <r>
    <x v="100"/>
    <x v="1"/>
    <x v="0"/>
    <x v="347"/>
    <x v="217"/>
    <x v="347"/>
    <x v="217"/>
    <x v="2"/>
  </r>
  <r>
    <x v="101"/>
    <x v="1"/>
    <x v="0"/>
    <x v="348"/>
    <x v="218"/>
    <x v="348"/>
    <x v="218"/>
    <x v="2"/>
  </r>
  <r>
    <x v="58"/>
    <x v="1"/>
    <x v="0"/>
    <x v="349"/>
    <x v="219"/>
    <x v="349"/>
    <x v="219"/>
    <x v="2"/>
  </r>
  <r>
    <x v="125"/>
    <x v="1"/>
    <x v="0"/>
    <x v="350"/>
    <x v="220"/>
    <x v="350"/>
    <x v="220"/>
    <x v="2"/>
  </r>
  <r>
    <x v="59"/>
    <x v="1"/>
    <x v="0"/>
    <x v="351"/>
    <x v="221"/>
    <x v="351"/>
    <x v="221"/>
    <x v="2"/>
  </r>
  <r>
    <x v="118"/>
    <x v="1"/>
    <x v="0"/>
    <x v="352"/>
    <x v="222"/>
    <x v="352"/>
    <x v="222"/>
    <x v="2"/>
  </r>
  <r>
    <x v="119"/>
    <x v="1"/>
    <x v="0"/>
    <x v="353"/>
    <x v="223"/>
    <x v="353"/>
    <x v="223"/>
    <x v="2"/>
  </r>
  <r>
    <x v="60"/>
    <x v="1"/>
    <x v="0"/>
    <x v="354"/>
    <x v="224"/>
    <x v="354"/>
    <x v="224"/>
    <x v="2"/>
  </r>
  <r>
    <x v="61"/>
    <x v="1"/>
    <x v="0"/>
    <x v="355"/>
    <x v="225"/>
    <x v="355"/>
    <x v="225"/>
    <x v="2"/>
  </r>
  <r>
    <x v="62"/>
    <x v="1"/>
    <x v="0"/>
    <x v="356"/>
    <x v="226"/>
    <x v="356"/>
    <x v="226"/>
    <x v="2"/>
  </r>
  <r>
    <x v="63"/>
    <x v="1"/>
    <x v="0"/>
    <x v="357"/>
    <x v="227"/>
    <x v="357"/>
    <x v="227"/>
    <x v="2"/>
  </r>
  <r>
    <x v="64"/>
    <x v="1"/>
    <x v="0"/>
    <x v="358"/>
    <x v="228"/>
    <x v="358"/>
    <x v="228"/>
    <x v="2"/>
  </r>
  <r>
    <x v="65"/>
    <x v="1"/>
    <x v="0"/>
    <x v="359"/>
    <x v="229"/>
    <x v="359"/>
    <x v="229"/>
    <x v="2"/>
  </r>
  <r>
    <x v="66"/>
    <x v="1"/>
    <x v="0"/>
    <x v="360"/>
    <x v="230"/>
    <x v="360"/>
    <x v="230"/>
    <x v="2"/>
  </r>
  <r>
    <x v="67"/>
    <x v="1"/>
    <x v="0"/>
    <x v="361"/>
    <x v="231"/>
    <x v="361"/>
    <x v="231"/>
    <x v="3"/>
  </r>
  <r>
    <x v="120"/>
    <x v="1"/>
    <x v="0"/>
    <x v="362"/>
    <x v="232"/>
    <x v="362"/>
    <x v="232"/>
    <x v="3"/>
  </r>
  <r>
    <x v="102"/>
    <x v="1"/>
    <x v="0"/>
    <x v="363"/>
    <x v="233"/>
    <x v="363"/>
    <x v="233"/>
    <x v="3"/>
  </r>
  <r>
    <x v="103"/>
    <x v="1"/>
    <x v="0"/>
    <x v="364"/>
    <x v="234"/>
    <x v="364"/>
    <x v="234"/>
    <x v="3"/>
  </r>
  <r>
    <x v="104"/>
    <x v="1"/>
    <x v="0"/>
    <x v="365"/>
    <x v="235"/>
    <x v="365"/>
    <x v="235"/>
    <x v="3"/>
  </r>
  <r>
    <x v="68"/>
    <x v="1"/>
    <x v="0"/>
    <x v="366"/>
    <x v="236"/>
    <x v="366"/>
    <x v="236"/>
    <x v="3"/>
  </r>
  <r>
    <x v="69"/>
    <x v="1"/>
    <x v="0"/>
    <x v="367"/>
    <x v="237"/>
    <x v="367"/>
    <x v="237"/>
    <x v="3"/>
  </r>
  <r>
    <x v="70"/>
    <x v="1"/>
    <x v="0"/>
    <x v="368"/>
    <x v="238"/>
    <x v="368"/>
    <x v="238"/>
    <x v="3"/>
  </r>
  <r>
    <x v="121"/>
    <x v="1"/>
    <x v="0"/>
    <x v="369"/>
    <x v="239"/>
    <x v="369"/>
    <x v="239"/>
    <x v="3"/>
  </r>
  <r>
    <x v="71"/>
    <x v="1"/>
    <x v="0"/>
    <x v="370"/>
    <x v="240"/>
    <x v="370"/>
    <x v="240"/>
    <x v="3"/>
  </r>
  <r>
    <x v="72"/>
    <x v="1"/>
    <x v="0"/>
    <x v="371"/>
    <x v="241"/>
    <x v="371"/>
    <x v="241"/>
    <x v="3"/>
  </r>
  <r>
    <x v="73"/>
    <x v="1"/>
    <x v="0"/>
    <x v="372"/>
    <x v="242"/>
    <x v="372"/>
    <x v="242"/>
    <x v="3"/>
  </r>
  <r>
    <x v="74"/>
    <x v="1"/>
    <x v="0"/>
    <x v="373"/>
    <x v="243"/>
    <x v="373"/>
    <x v="243"/>
    <x v="3"/>
  </r>
  <r>
    <x v="75"/>
    <x v="1"/>
    <x v="0"/>
    <x v="374"/>
    <x v="244"/>
    <x v="374"/>
    <x v="244"/>
    <x v="3"/>
  </r>
  <r>
    <x v="76"/>
    <x v="1"/>
    <x v="0"/>
    <x v="375"/>
    <x v="245"/>
    <x v="375"/>
    <x v="245"/>
    <x v="3"/>
  </r>
  <r>
    <x v="122"/>
    <x v="1"/>
    <x v="0"/>
    <x v="376"/>
    <x v="246"/>
    <x v="376"/>
    <x v="246"/>
    <x v="3"/>
  </r>
  <r>
    <x v="105"/>
    <x v="1"/>
    <x v="0"/>
    <x v="377"/>
    <x v="247"/>
    <x v="377"/>
    <x v="247"/>
    <x v="3"/>
  </r>
  <r>
    <x v="106"/>
    <x v="1"/>
    <x v="0"/>
    <x v="378"/>
    <x v="248"/>
    <x v="378"/>
    <x v="248"/>
    <x v="3"/>
  </r>
  <r>
    <x v="77"/>
    <x v="1"/>
    <x v="0"/>
    <x v="379"/>
    <x v="249"/>
    <x v="379"/>
    <x v="249"/>
    <x v="3"/>
  </r>
  <r>
    <x v="107"/>
    <x v="1"/>
    <x v="0"/>
    <x v="380"/>
    <x v="250"/>
    <x v="380"/>
    <x v="250"/>
    <x v="3"/>
  </r>
  <r>
    <x v="78"/>
    <x v="1"/>
    <x v="0"/>
    <x v="381"/>
    <x v="251"/>
    <x v="381"/>
    <x v="251"/>
    <x v="3"/>
  </r>
  <r>
    <x v="79"/>
    <x v="1"/>
    <x v="0"/>
    <x v="382"/>
    <x v="252"/>
    <x v="382"/>
    <x v="252"/>
    <x v="3"/>
  </r>
  <r>
    <x v="123"/>
    <x v="1"/>
    <x v="0"/>
    <x v="383"/>
    <x v="253"/>
    <x v="383"/>
    <x v="253"/>
    <x v="3"/>
  </r>
  <r>
    <x v="80"/>
    <x v="1"/>
    <x v="0"/>
    <x v="384"/>
    <x v="254"/>
    <x v="384"/>
    <x v="254"/>
    <x v="3"/>
  </r>
  <r>
    <x v="81"/>
    <x v="1"/>
    <x v="0"/>
    <x v="385"/>
    <x v="255"/>
    <x v="385"/>
    <x v="255"/>
    <x v="3"/>
  </r>
  <r>
    <x v="108"/>
    <x v="1"/>
    <x v="0"/>
    <x v="386"/>
    <x v="256"/>
    <x v="386"/>
    <x v="256"/>
    <x v="3"/>
  </r>
  <r>
    <x v="82"/>
    <x v="1"/>
    <x v="0"/>
    <x v="387"/>
    <x v="257"/>
    <x v="387"/>
    <x v="257"/>
    <x v="3"/>
  </r>
  <r>
    <x v="83"/>
    <x v="1"/>
    <x v="0"/>
    <x v="388"/>
    <x v="258"/>
    <x v="388"/>
    <x v="258"/>
    <x v="3"/>
  </r>
  <r>
    <x v="84"/>
    <x v="1"/>
    <x v="0"/>
    <x v="389"/>
    <x v="259"/>
    <x v="389"/>
    <x v="259"/>
    <x v="3"/>
  </r>
  <r>
    <x v="109"/>
    <x v="1"/>
    <x v="0"/>
    <x v="390"/>
    <x v="260"/>
    <x v="390"/>
    <x v="260"/>
    <x v="3"/>
  </r>
  <r>
    <x v="85"/>
    <x v="1"/>
    <x v="0"/>
    <x v="391"/>
    <x v="261"/>
    <x v="391"/>
    <x v="261"/>
    <x v="3"/>
  </r>
  <r>
    <x v="86"/>
    <x v="1"/>
    <x v="0"/>
    <x v="392"/>
    <x v="262"/>
    <x v="392"/>
    <x v="262"/>
    <x v="4"/>
  </r>
  <r>
    <x v="87"/>
    <x v="1"/>
    <x v="0"/>
    <x v="393"/>
    <x v="263"/>
    <x v="393"/>
    <x v="263"/>
    <x v="4"/>
  </r>
  <r>
    <x v="110"/>
    <x v="1"/>
    <x v="0"/>
    <x v="394"/>
    <x v="264"/>
    <x v="394"/>
    <x v="264"/>
    <x v="4"/>
  </r>
  <r>
    <x v="88"/>
    <x v="1"/>
    <x v="0"/>
    <x v="395"/>
    <x v="265"/>
    <x v="395"/>
    <x v="265"/>
    <x v="4"/>
  </r>
  <r>
    <x v="89"/>
    <x v="1"/>
    <x v="0"/>
    <x v="396"/>
    <x v="266"/>
    <x v="396"/>
    <x v="266"/>
    <x v="4"/>
  </r>
  <r>
    <x v="111"/>
    <x v="1"/>
    <x v="0"/>
    <x v="397"/>
    <x v="267"/>
    <x v="397"/>
    <x v="267"/>
    <x v="4"/>
  </r>
  <r>
    <x v="90"/>
    <x v="1"/>
    <x v="0"/>
    <x v="398"/>
    <x v="268"/>
    <x v="398"/>
    <x v="268"/>
    <x v="4"/>
  </r>
  <r>
    <x v="91"/>
    <x v="1"/>
    <x v="0"/>
    <x v="399"/>
    <x v="269"/>
    <x v="399"/>
    <x v="269"/>
    <x v="4"/>
  </r>
  <r>
    <x v="92"/>
    <x v="1"/>
    <x v="0"/>
    <x v="400"/>
    <x v="270"/>
    <x v="400"/>
    <x v="270"/>
    <x v="4"/>
  </r>
  <r>
    <x v="41"/>
    <x v="1"/>
    <x v="1"/>
    <x v="401"/>
    <x v="271"/>
    <x v="401"/>
    <x v="271"/>
    <x v="1"/>
  </r>
  <r>
    <x v="42"/>
    <x v="1"/>
    <x v="1"/>
    <x v="402"/>
    <x v="272"/>
    <x v="402"/>
    <x v="272"/>
    <x v="1"/>
  </r>
  <r>
    <x v="43"/>
    <x v="1"/>
    <x v="1"/>
    <x v="328"/>
    <x v="273"/>
    <x v="328"/>
    <x v="273"/>
    <x v="1"/>
  </r>
  <r>
    <x v="97"/>
    <x v="1"/>
    <x v="1"/>
    <x v="403"/>
    <x v="274"/>
    <x v="403"/>
    <x v="274"/>
    <x v="1"/>
  </r>
  <r>
    <x v="115"/>
    <x v="1"/>
    <x v="1"/>
    <x v="327"/>
    <x v="275"/>
    <x v="327"/>
    <x v="275"/>
    <x v="1"/>
  </r>
  <r>
    <x v="44"/>
    <x v="1"/>
    <x v="1"/>
    <x v="404"/>
    <x v="276"/>
    <x v="404"/>
    <x v="276"/>
    <x v="1"/>
  </r>
  <r>
    <x v="45"/>
    <x v="1"/>
    <x v="1"/>
    <x v="405"/>
    <x v="277"/>
    <x v="405"/>
    <x v="277"/>
    <x v="1"/>
  </r>
  <r>
    <x v="98"/>
    <x v="1"/>
    <x v="1"/>
    <x v="406"/>
    <x v="278"/>
    <x v="406"/>
    <x v="278"/>
    <x v="1"/>
  </r>
  <r>
    <x v="46"/>
    <x v="1"/>
    <x v="1"/>
    <x v="407"/>
    <x v="279"/>
    <x v="407"/>
    <x v="279"/>
    <x v="1"/>
  </r>
  <r>
    <x v="47"/>
    <x v="1"/>
    <x v="1"/>
    <x v="408"/>
    <x v="280"/>
    <x v="408"/>
    <x v="280"/>
    <x v="1"/>
  </r>
  <r>
    <x v="48"/>
    <x v="1"/>
    <x v="1"/>
    <x v="409"/>
    <x v="281"/>
    <x v="409"/>
    <x v="281"/>
    <x v="2"/>
  </r>
  <r>
    <x v="116"/>
    <x v="1"/>
    <x v="1"/>
    <x v="410"/>
    <x v="282"/>
    <x v="410"/>
    <x v="282"/>
    <x v="2"/>
  </r>
  <r>
    <x v="49"/>
    <x v="1"/>
    <x v="1"/>
    <x v="411"/>
    <x v="283"/>
    <x v="411"/>
    <x v="283"/>
    <x v="2"/>
  </r>
  <r>
    <x v="50"/>
    <x v="1"/>
    <x v="1"/>
    <x v="412"/>
    <x v="284"/>
    <x v="412"/>
    <x v="284"/>
    <x v="2"/>
  </r>
  <r>
    <x v="51"/>
    <x v="1"/>
    <x v="1"/>
    <x v="413"/>
    <x v="285"/>
    <x v="413"/>
    <x v="285"/>
    <x v="2"/>
  </r>
  <r>
    <x v="52"/>
    <x v="1"/>
    <x v="1"/>
    <x v="414"/>
    <x v="286"/>
    <x v="414"/>
    <x v="286"/>
    <x v="2"/>
  </r>
  <r>
    <x v="53"/>
    <x v="1"/>
    <x v="1"/>
    <x v="415"/>
    <x v="287"/>
    <x v="415"/>
    <x v="287"/>
    <x v="2"/>
  </r>
  <r>
    <x v="54"/>
    <x v="1"/>
    <x v="1"/>
    <x v="416"/>
    <x v="288"/>
    <x v="416"/>
    <x v="288"/>
    <x v="2"/>
  </r>
  <r>
    <x v="117"/>
    <x v="1"/>
    <x v="1"/>
    <x v="417"/>
    <x v="289"/>
    <x v="417"/>
    <x v="289"/>
    <x v="2"/>
  </r>
  <r>
    <x v="55"/>
    <x v="1"/>
    <x v="1"/>
    <x v="418"/>
    <x v="290"/>
    <x v="418"/>
    <x v="290"/>
    <x v="2"/>
  </r>
  <r>
    <x v="56"/>
    <x v="1"/>
    <x v="1"/>
    <x v="419"/>
    <x v="291"/>
    <x v="419"/>
    <x v="291"/>
    <x v="2"/>
  </r>
  <r>
    <x v="57"/>
    <x v="1"/>
    <x v="1"/>
    <x v="420"/>
    <x v="292"/>
    <x v="420"/>
    <x v="292"/>
    <x v="2"/>
  </r>
  <r>
    <x v="99"/>
    <x v="1"/>
    <x v="1"/>
    <x v="421"/>
    <x v="293"/>
    <x v="421"/>
    <x v="293"/>
    <x v="2"/>
  </r>
  <r>
    <x v="124"/>
    <x v="1"/>
    <x v="1"/>
    <x v="422"/>
    <x v="294"/>
    <x v="422"/>
    <x v="294"/>
    <x v="2"/>
  </r>
  <r>
    <x v="100"/>
    <x v="1"/>
    <x v="1"/>
    <x v="423"/>
    <x v="295"/>
    <x v="423"/>
    <x v="295"/>
    <x v="2"/>
  </r>
  <r>
    <x v="101"/>
    <x v="1"/>
    <x v="1"/>
    <x v="424"/>
    <x v="296"/>
    <x v="424"/>
    <x v="296"/>
    <x v="2"/>
  </r>
  <r>
    <x v="58"/>
    <x v="1"/>
    <x v="1"/>
    <x v="425"/>
    <x v="297"/>
    <x v="425"/>
    <x v="297"/>
    <x v="2"/>
  </r>
  <r>
    <x v="125"/>
    <x v="1"/>
    <x v="1"/>
    <x v="426"/>
    <x v="298"/>
    <x v="426"/>
    <x v="298"/>
    <x v="2"/>
  </r>
  <r>
    <x v="59"/>
    <x v="1"/>
    <x v="1"/>
    <x v="427"/>
    <x v="299"/>
    <x v="427"/>
    <x v="299"/>
    <x v="2"/>
  </r>
  <r>
    <x v="118"/>
    <x v="1"/>
    <x v="1"/>
    <x v="428"/>
    <x v="300"/>
    <x v="428"/>
    <x v="300"/>
    <x v="2"/>
  </r>
  <r>
    <x v="119"/>
    <x v="1"/>
    <x v="1"/>
    <x v="429"/>
    <x v="301"/>
    <x v="429"/>
    <x v="301"/>
    <x v="2"/>
  </r>
  <r>
    <x v="60"/>
    <x v="1"/>
    <x v="1"/>
    <x v="430"/>
    <x v="302"/>
    <x v="430"/>
    <x v="302"/>
    <x v="2"/>
  </r>
  <r>
    <x v="61"/>
    <x v="1"/>
    <x v="1"/>
    <x v="431"/>
    <x v="303"/>
    <x v="431"/>
    <x v="303"/>
    <x v="2"/>
  </r>
  <r>
    <x v="62"/>
    <x v="1"/>
    <x v="1"/>
    <x v="432"/>
    <x v="304"/>
    <x v="432"/>
    <x v="304"/>
    <x v="2"/>
  </r>
  <r>
    <x v="63"/>
    <x v="1"/>
    <x v="1"/>
    <x v="433"/>
    <x v="305"/>
    <x v="433"/>
    <x v="305"/>
    <x v="2"/>
  </r>
  <r>
    <x v="64"/>
    <x v="1"/>
    <x v="1"/>
    <x v="434"/>
    <x v="306"/>
    <x v="434"/>
    <x v="306"/>
    <x v="2"/>
  </r>
  <r>
    <x v="65"/>
    <x v="1"/>
    <x v="1"/>
    <x v="435"/>
    <x v="307"/>
    <x v="435"/>
    <x v="307"/>
    <x v="2"/>
  </r>
  <r>
    <x v="66"/>
    <x v="1"/>
    <x v="1"/>
    <x v="436"/>
    <x v="308"/>
    <x v="436"/>
    <x v="308"/>
    <x v="2"/>
  </r>
  <r>
    <x v="67"/>
    <x v="1"/>
    <x v="1"/>
    <x v="437"/>
    <x v="309"/>
    <x v="437"/>
    <x v="309"/>
    <x v="3"/>
  </r>
  <r>
    <x v="120"/>
    <x v="1"/>
    <x v="1"/>
    <x v="438"/>
    <x v="310"/>
    <x v="438"/>
    <x v="310"/>
    <x v="3"/>
  </r>
  <r>
    <x v="102"/>
    <x v="1"/>
    <x v="1"/>
    <x v="439"/>
    <x v="311"/>
    <x v="439"/>
    <x v="311"/>
    <x v="3"/>
  </r>
  <r>
    <x v="103"/>
    <x v="1"/>
    <x v="1"/>
    <x v="440"/>
    <x v="225"/>
    <x v="440"/>
    <x v="225"/>
    <x v="3"/>
  </r>
  <r>
    <x v="104"/>
    <x v="1"/>
    <x v="1"/>
    <x v="441"/>
    <x v="312"/>
    <x v="441"/>
    <x v="312"/>
    <x v="3"/>
  </r>
  <r>
    <x v="68"/>
    <x v="1"/>
    <x v="1"/>
    <x v="442"/>
    <x v="313"/>
    <x v="442"/>
    <x v="313"/>
    <x v="3"/>
  </r>
  <r>
    <x v="69"/>
    <x v="1"/>
    <x v="1"/>
    <x v="443"/>
    <x v="314"/>
    <x v="443"/>
    <x v="314"/>
    <x v="3"/>
  </r>
  <r>
    <x v="70"/>
    <x v="1"/>
    <x v="1"/>
    <x v="444"/>
    <x v="259"/>
    <x v="444"/>
    <x v="259"/>
    <x v="3"/>
  </r>
  <r>
    <x v="121"/>
    <x v="1"/>
    <x v="1"/>
    <x v="445"/>
    <x v="315"/>
    <x v="445"/>
    <x v="315"/>
    <x v="3"/>
  </r>
  <r>
    <x v="71"/>
    <x v="1"/>
    <x v="1"/>
    <x v="446"/>
    <x v="316"/>
    <x v="446"/>
    <x v="316"/>
    <x v="3"/>
  </r>
  <r>
    <x v="72"/>
    <x v="1"/>
    <x v="1"/>
    <x v="447"/>
    <x v="317"/>
    <x v="447"/>
    <x v="317"/>
    <x v="3"/>
  </r>
  <r>
    <x v="73"/>
    <x v="1"/>
    <x v="1"/>
    <x v="448"/>
    <x v="318"/>
    <x v="448"/>
    <x v="318"/>
    <x v="3"/>
  </r>
  <r>
    <x v="74"/>
    <x v="1"/>
    <x v="1"/>
    <x v="449"/>
    <x v="319"/>
    <x v="449"/>
    <x v="319"/>
    <x v="3"/>
  </r>
  <r>
    <x v="75"/>
    <x v="1"/>
    <x v="1"/>
    <x v="450"/>
    <x v="320"/>
    <x v="450"/>
    <x v="320"/>
    <x v="3"/>
  </r>
  <r>
    <x v="76"/>
    <x v="1"/>
    <x v="1"/>
    <x v="451"/>
    <x v="321"/>
    <x v="451"/>
    <x v="321"/>
    <x v="3"/>
  </r>
  <r>
    <x v="122"/>
    <x v="1"/>
    <x v="1"/>
    <x v="452"/>
    <x v="322"/>
    <x v="452"/>
    <x v="322"/>
    <x v="3"/>
  </r>
  <r>
    <x v="105"/>
    <x v="1"/>
    <x v="1"/>
    <x v="453"/>
    <x v="323"/>
    <x v="453"/>
    <x v="323"/>
    <x v="3"/>
  </r>
  <r>
    <x v="106"/>
    <x v="1"/>
    <x v="1"/>
    <x v="454"/>
    <x v="324"/>
    <x v="454"/>
    <x v="324"/>
    <x v="3"/>
  </r>
  <r>
    <x v="77"/>
    <x v="1"/>
    <x v="1"/>
    <x v="455"/>
    <x v="325"/>
    <x v="455"/>
    <x v="325"/>
    <x v="3"/>
  </r>
  <r>
    <x v="107"/>
    <x v="1"/>
    <x v="1"/>
    <x v="456"/>
    <x v="326"/>
    <x v="456"/>
    <x v="326"/>
    <x v="3"/>
  </r>
  <r>
    <x v="78"/>
    <x v="1"/>
    <x v="1"/>
    <x v="457"/>
    <x v="327"/>
    <x v="457"/>
    <x v="327"/>
    <x v="3"/>
  </r>
  <r>
    <x v="79"/>
    <x v="1"/>
    <x v="1"/>
    <x v="458"/>
    <x v="328"/>
    <x v="458"/>
    <x v="328"/>
    <x v="3"/>
  </r>
  <r>
    <x v="123"/>
    <x v="1"/>
    <x v="1"/>
    <x v="459"/>
    <x v="329"/>
    <x v="459"/>
    <x v="329"/>
    <x v="3"/>
  </r>
  <r>
    <x v="80"/>
    <x v="1"/>
    <x v="1"/>
    <x v="460"/>
    <x v="330"/>
    <x v="460"/>
    <x v="330"/>
    <x v="3"/>
  </r>
  <r>
    <x v="81"/>
    <x v="1"/>
    <x v="1"/>
    <x v="461"/>
    <x v="331"/>
    <x v="461"/>
    <x v="331"/>
    <x v="3"/>
  </r>
  <r>
    <x v="108"/>
    <x v="1"/>
    <x v="1"/>
    <x v="462"/>
    <x v="332"/>
    <x v="462"/>
    <x v="332"/>
    <x v="3"/>
  </r>
  <r>
    <x v="82"/>
    <x v="1"/>
    <x v="1"/>
    <x v="463"/>
    <x v="333"/>
    <x v="463"/>
    <x v="333"/>
    <x v="3"/>
  </r>
  <r>
    <x v="83"/>
    <x v="1"/>
    <x v="1"/>
    <x v="464"/>
    <x v="334"/>
    <x v="464"/>
    <x v="334"/>
    <x v="3"/>
  </r>
  <r>
    <x v="84"/>
    <x v="1"/>
    <x v="1"/>
    <x v="465"/>
    <x v="335"/>
    <x v="465"/>
    <x v="335"/>
    <x v="3"/>
  </r>
  <r>
    <x v="109"/>
    <x v="1"/>
    <x v="1"/>
    <x v="466"/>
    <x v="336"/>
    <x v="466"/>
    <x v="336"/>
    <x v="3"/>
  </r>
  <r>
    <x v="85"/>
    <x v="1"/>
    <x v="1"/>
    <x v="467"/>
    <x v="337"/>
    <x v="467"/>
    <x v="337"/>
    <x v="3"/>
  </r>
  <r>
    <x v="86"/>
    <x v="1"/>
    <x v="1"/>
    <x v="468"/>
    <x v="338"/>
    <x v="468"/>
    <x v="338"/>
    <x v="4"/>
  </r>
  <r>
    <x v="87"/>
    <x v="1"/>
    <x v="1"/>
    <x v="469"/>
    <x v="339"/>
    <x v="469"/>
    <x v="339"/>
    <x v="4"/>
  </r>
  <r>
    <x v="110"/>
    <x v="1"/>
    <x v="1"/>
    <x v="470"/>
    <x v="340"/>
    <x v="470"/>
    <x v="340"/>
    <x v="4"/>
  </r>
  <r>
    <x v="88"/>
    <x v="1"/>
    <x v="1"/>
    <x v="471"/>
    <x v="341"/>
    <x v="471"/>
    <x v="341"/>
    <x v="4"/>
  </r>
  <r>
    <x v="89"/>
    <x v="1"/>
    <x v="1"/>
    <x v="472"/>
    <x v="342"/>
    <x v="472"/>
    <x v="342"/>
    <x v="4"/>
  </r>
  <r>
    <x v="111"/>
    <x v="1"/>
    <x v="1"/>
    <x v="473"/>
    <x v="343"/>
    <x v="473"/>
    <x v="343"/>
    <x v="4"/>
  </r>
  <r>
    <x v="90"/>
    <x v="1"/>
    <x v="1"/>
    <x v="474"/>
    <x v="344"/>
    <x v="474"/>
    <x v="344"/>
    <x v="4"/>
  </r>
  <r>
    <x v="91"/>
    <x v="1"/>
    <x v="1"/>
    <x v="475"/>
    <x v="345"/>
    <x v="475"/>
    <x v="345"/>
    <x v="4"/>
  </r>
  <r>
    <x v="92"/>
    <x v="1"/>
    <x v="1"/>
    <x v="476"/>
    <x v="346"/>
    <x v="476"/>
    <x v="346"/>
    <x v="4"/>
  </r>
  <r>
    <x v="126"/>
    <x v="1"/>
    <x v="6"/>
    <x v="477"/>
    <x v="195"/>
    <x v="477"/>
    <x v="195"/>
    <x v="4"/>
  </r>
  <r>
    <x v="126"/>
    <x v="1"/>
    <x v="5"/>
    <x v="477"/>
    <x v="195"/>
    <x v="477"/>
    <x v="195"/>
    <x v="4"/>
  </r>
  <r>
    <x v="126"/>
    <x v="1"/>
    <x v="4"/>
    <x v="477"/>
    <x v="195"/>
    <x v="477"/>
    <x v="195"/>
    <x v="4"/>
  </r>
  <r>
    <x v="126"/>
    <x v="1"/>
    <x v="3"/>
    <x v="477"/>
    <x v="195"/>
    <x v="477"/>
    <x v="195"/>
    <x v="4"/>
  </r>
  <r>
    <x v="126"/>
    <x v="1"/>
    <x v="2"/>
    <x v="477"/>
    <x v="195"/>
    <x v="477"/>
    <x v="195"/>
    <x v="4"/>
  </r>
  <r>
    <x v="126"/>
    <x v="1"/>
    <x v="1"/>
    <x v="478"/>
    <x v="347"/>
    <x v="478"/>
    <x v="347"/>
    <x v="4"/>
  </r>
  <r>
    <x v="126"/>
    <x v="1"/>
    <x v="0"/>
    <x v="479"/>
    <x v="348"/>
    <x v="479"/>
    <x v="348"/>
    <x v="4"/>
  </r>
  <r>
    <x v="126"/>
    <x v="0"/>
    <x v="6"/>
    <x v="480"/>
    <x v="195"/>
    <x v="480"/>
    <x v="195"/>
    <x v="4"/>
  </r>
  <r>
    <x v="126"/>
    <x v="0"/>
    <x v="5"/>
    <x v="481"/>
    <x v="195"/>
    <x v="481"/>
    <x v="195"/>
    <x v="4"/>
  </r>
  <r>
    <x v="126"/>
    <x v="0"/>
    <x v="4"/>
    <x v="482"/>
    <x v="195"/>
    <x v="482"/>
    <x v="195"/>
    <x v="4"/>
  </r>
  <r>
    <x v="126"/>
    <x v="0"/>
    <x v="3"/>
    <x v="483"/>
    <x v="195"/>
    <x v="483"/>
    <x v="195"/>
    <x v="4"/>
  </r>
  <r>
    <x v="126"/>
    <x v="0"/>
    <x v="2"/>
    <x v="477"/>
    <x v="195"/>
    <x v="477"/>
    <x v="195"/>
    <x v="4"/>
  </r>
  <r>
    <x v="126"/>
    <x v="0"/>
    <x v="1"/>
    <x v="484"/>
    <x v="349"/>
    <x v="484"/>
    <x v="349"/>
    <x v="4"/>
  </r>
  <r>
    <x v="126"/>
    <x v="0"/>
    <x v="0"/>
    <x v="485"/>
    <x v="350"/>
    <x v="485"/>
    <x v="350"/>
    <x v="4"/>
  </r>
  <r>
    <x v="127"/>
    <x v="1"/>
    <x v="1"/>
    <x v="486"/>
    <x v="351"/>
    <x v="486"/>
    <x v="351"/>
    <x v="4"/>
  </r>
  <r>
    <x v="127"/>
    <x v="1"/>
    <x v="0"/>
    <x v="487"/>
    <x v="352"/>
    <x v="487"/>
    <x v="352"/>
    <x v="4"/>
  </r>
  <r>
    <x v="127"/>
    <x v="0"/>
    <x v="6"/>
    <x v="488"/>
    <x v="195"/>
    <x v="488"/>
    <x v="195"/>
    <x v="4"/>
  </r>
  <r>
    <x v="127"/>
    <x v="0"/>
    <x v="5"/>
    <x v="489"/>
    <x v="195"/>
    <x v="489"/>
    <x v="195"/>
    <x v="4"/>
  </r>
  <r>
    <x v="127"/>
    <x v="0"/>
    <x v="4"/>
    <x v="490"/>
    <x v="195"/>
    <x v="490"/>
    <x v="195"/>
    <x v="4"/>
  </r>
  <r>
    <x v="127"/>
    <x v="0"/>
    <x v="3"/>
    <x v="491"/>
    <x v="195"/>
    <x v="491"/>
    <x v="195"/>
    <x v="4"/>
  </r>
  <r>
    <x v="127"/>
    <x v="0"/>
    <x v="2"/>
    <x v="492"/>
    <x v="195"/>
    <x v="492"/>
    <x v="195"/>
    <x v="4"/>
  </r>
  <r>
    <x v="127"/>
    <x v="0"/>
    <x v="1"/>
    <x v="493"/>
    <x v="353"/>
    <x v="493"/>
    <x v="353"/>
    <x v="4"/>
  </r>
  <r>
    <x v="127"/>
    <x v="0"/>
    <x v="0"/>
    <x v="494"/>
    <x v="354"/>
    <x v="494"/>
    <x v="354"/>
    <x v="4"/>
  </r>
  <r>
    <x v="128"/>
    <x v="1"/>
    <x v="1"/>
    <x v="495"/>
    <x v="355"/>
    <x v="495"/>
    <x v="355"/>
    <x v="4"/>
  </r>
  <r>
    <x v="128"/>
    <x v="1"/>
    <x v="0"/>
    <x v="496"/>
    <x v="356"/>
    <x v="496"/>
    <x v="356"/>
    <x v="4"/>
  </r>
  <r>
    <x v="128"/>
    <x v="0"/>
    <x v="6"/>
    <x v="497"/>
    <x v="195"/>
    <x v="497"/>
    <x v="195"/>
    <x v="4"/>
  </r>
  <r>
    <x v="128"/>
    <x v="0"/>
    <x v="5"/>
    <x v="498"/>
    <x v="195"/>
    <x v="498"/>
    <x v="195"/>
    <x v="4"/>
  </r>
  <r>
    <x v="128"/>
    <x v="0"/>
    <x v="4"/>
    <x v="499"/>
    <x v="195"/>
    <x v="499"/>
    <x v="195"/>
    <x v="4"/>
  </r>
  <r>
    <x v="128"/>
    <x v="0"/>
    <x v="3"/>
    <x v="500"/>
    <x v="195"/>
    <x v="500"/>
    <x v="195"/>
    <x v="4"/>
  </r>
  <r>
    <x v="128"/>
    <x v="0"/>
    <x v="2"/>
    <x v="501"/>
    <x v="195"/>
    <x v="501"/>
    <x v="195"/>
    <x v="4"/>
  </r>
  <r>
    <x v="128"/>
    <x v="0"/>
    <x v="1"/>
    <x v="502"/>
    <x v="357"/>
    <x v="502"/>
    <x v="357"/>
    <x v="4"/>
  </r>
  <r>
    <x v="129"/>
    <x v="1"/>
    <x v="1"/>
    <x v="503"/>
    <x v="358"/>
    <x v="503"/>
    <x v="358"/>
    <x v="4"/>
  </r>
  <r>
    <x v="129"/>
    <x v="1"/>
    <x v="0"/>
    <x v="504"/>
    <x v="359"/>
    <x v="504"/>
    <x v="359"/>
    <x v="4"/>
  </r>
  <r>
    <x v="129"/>
    <x v="0"/>
    <x v="6"/>
    <x v="505"/>
    <x v="195"/>
    <x v="505"/>
    <x v="195"/>
    <x v="4"/>
  </r>
  <r>
    <x v="129"/>
    <x v="0"/>
    <x v="5"/>
    <x v="506"/>
    <x v="195"/>
    <x v="506"/>
    <x v="195"/>
    <x v="4"/>
  </r>
  <r>
    <x v="129"/>
    <x v="0"/>
    <x v="3"/>
    <x v="507"/>
    <x v="195"/>
    <x v="507"/>
    <x v="195"/>
    <x v="4"/>
  </r>
  <r>
    <x v="129"/>
    <x v="0"/>
    <x v="2"/>
    <x v="508"/>
    <x v="195"/>
    <x v="508"/>
    <x v="195"/>
    <x v="4"/>
  </r>
  <r>
    <x v="129"/>
    <x v="0"/>
    <x v="1"/>
    <x v="509"/>
    <x v="360"/>
    <x v="509"/>
    <x v="360"/>
    <x v="4"/>
  </r>
  <r>
    <x v="130"/>
    <x v="1"/>
    <x v="1"/>
    <x v="510"/>
    <x v="361"/>
    <x v="510"/>
    <x v="361"/>
    <x v="4"/>
  </r>
  <r>
    <x v="130"/>
    <x v="1"/>
    <x v="0"/>
    <x v="438"/>
    <x v="362"/>
    <x v="438"/>
    <x v="362"/>
    <x v="4"/>
  </r>
  <r>
    <x v="130"/>
    <x v="0"/>
    <x v="6"/>
    <x v="511"/>
    <x v="195"/>
    <x v="511"/>
    <x v="195"/>
    <x v="4"/>
  </r>
  <r>
    <x v="130"/>
    <x v="0"/>
    <x v="4"/>
    <x v="512"/>
    <x v="195"/>
    <x v="512"/>
    <x v="195"/>
    <x v="4"/>
  </r>
  <r>
    <x v="130"/>
    <x v="0"/>
    <x v="3"/>
    <x v="513"/>
    <x v="195"/>
    <x v="513"/>
    <x v="195"/>
    <x v="4"/>
  </r>
  <r>
    <x v="130"/>
    <x v="0"/>
    <x v="2"/>
    <x v="514"/>
    <x v="195"/>
    <x v="514"/>
    <x v="195"/>
    <x v="4"/>
  </r>
  <r>
    <x v="130"/>
    <x v="0"/>
    <x v="1"/>
    <x v="515"/>
    <x v="363"/>
    <x v="515"/>
    <x v="363"/>
    <x v="4"/>
  </r>
  <r>
    <x v="131"/>
    <x v="1"/>
    <x v="1"/>
    <x v="516"/>
    <x v="364"/>
    <x v="516"/>
    <x v="364"/>
    <x v="4"/>
  </r>
  <r>
    <x v="131"/>
    <x v="1"/>
    <x v="0"/>
    <x v="517"/>
    <x v="365"/>
    <x v="517"/>
    <x v="365"/>
    <x v="4"/>
  </r>
  <r>
    <x v="131"/>
    <x v="0"/>
    <x v="6"/>
    <x v="323"/>
    <x v="195"/>
    <x v="323"/>
    <x v="195"/>
    <x v="4"/>
  </r>
  <r>
    <x v="131"/>
    <x v="0"/>
    <x v="5"/>
    <x v="518"/>
    <x v="195"/>
    <x v="518"/>
    <x v="195"/>
    <x v="4"/>
  </r>
  <r>
    <x v="131"/>
    <x v="0"/>
    <x v="4"/>
    <x v="519"/>
    <x v="195"/>
    <x v="519"/>
    <x v="195"/>
    <x v="4"/>
  </r>
  <r>
    <x v="131"/>
    <x v="0"/>
    <x v="3"/>
    <x v="520"/>
    <x v="195"/>
    <x v="520"/>
    <x v="195"/>
    <x v="4"/>
  </r>
  <r>
    <x v="131"/>
    <x v="0"/>
    <x v="2"/>
    <x v="521"/>
    <x v="195"/>
    <x v="521"/>
    <x v="195"/>
    <x v="4"/>
  </r>
  <r>
    <x v="131"/>
    <x v="0"/>
    <x v="1"/>
    <x v="522"/>
    <x v="366"/>
    <x v="522"/>
    <x v="366"/>
    <x v="4"/>
  </r>
  <r>
    <x v="131"/>
    <x v="0"/>
    <x v="0"/>
    <x v="523"/>
    <x v="367"/>
    <x v="523"/>
    <x v="367"/>
    <x v="4"/>
  </r>
  <r>
    <x v="132"/>
    <x v="1"/>
    <x v="1"/>
    <x v="524"/>
    <x v="368"/>
    <x v="524"/>
    <x v="368"/>
    <x v="4"/>
  </r>
  <r>
    <x v="132"/>
    <x v="1"/>
    <x v="0"/>
    <x v="525"/>
    <x v="369"/>
    <x v="525"/>
    <x v="369"/>
    <x v="4"/>
  </r>
  <r>
    <x v="132"/>
    <x v="0"/>
    <x v="6"/>
    <x v="526"/>
    <x v="195"/>
    <x v="526"/>
    <x v="195"/>
    <x v="4"/>
  </r>
  <r>
    <x v="132"/>
    <x v="0"/>
    <x v="5"/>
    <x v="527"/>
    <x v="195"/>
    <x v="527"/>
    <x v="195"/>
    <x v="4"/>
  </r>
  <r>
    <x v="132"/>
    <x v="0"/>
    <x v="4"/>
    <x v="528"/>
    <x v="195"/>
    <x v="528"/>
    <x v="195"/>
    <x v="4"/>
  </r>
  <r>
    <x v="132"/>
    <x v="0"/>
    <x v="2"/>
    <x v="529"/>
    <x v="195"/>
    <x v="529"/>
    <x v="195"/>
    <x v="4"/>
  </r>
  <r>
    <x v="132"/>
    <x v="0"/>
    <x v="1"/>
    <x v="530"/>
    <x v="370"/>
    <x v="530"/>
    <x v="370"/>
    <x v="4"/>
  </r>
  <r>
    <x v="132"/>
    <x v="0"/>
    <x v="0"/>
    <x v="531"/>
    <x v="371"/>
    <x v="531"/>
    <x v="371"/>
    <x v="4"/>
  </r>
  <r>
    <x v="133"/>
    <x v="1"/>
    <x v="1"/>
    <x v="532"/>
    <x v="372"/>
    <x v="532"/>
    <x v="372"/>
    <x v="4"/>
  </r>
  <r>
    <x v="133"/>
    <x v="1"/>
    <x v="0"/>
    <x v="533"/>
    <x v="373"/>
    <x v="533"/>
    <x v="373"/>
    <x v="4"/>
  </r>
  <r>
    <x v="133"/>
    <x v="0"/>
    <x v="6"/>
    <x v="534"/>
    <x v="195"/>
    <x v="534"/>
    <x v="195"/>
    <x v="4"/>
  </r>
  <r>
    <x v="133"/>
    <x v="0"/>
    <x v="5"/>
    <x v="535"/>
    <x v="195"/>
    <x v="535"/>
    <x v="195"/>
    <x v="4"/>
  </r>
  <r>
    <x v="133"/>
    <x v="0"/>
    <x v="4"/>
    <x v="536"/>
    <x v="195"/>
    <x v="536"/>
    <x v="195"/>
    <x v="4"/>
  </r>
  <r>
    <x v="133"/>
    <x v="0"/>
    <x v="3"/>
    <x v="537"/>
    <x v="195"/>
    <x v="537"/>
    <x v="195"/>
    <x v="4"/>
  </r>
  <r>
    <x v="133"/>
    <x v="0"/>
    <x v="1"/>
    <x v="538"/>
    <x v="374"/>
    <x v="538"/>
    <x v="374"/>
    <x v="4"/>
  </r>
  <r>
    <x v="133"/>
    <x v="0"/>
    <x v="0"/>
    <x v="539"/>
    <x v="375"/>
    <x v="539"/>
    <x v="375"/>
    <x v="4"/>
  </r>
  <r>
    <x v="134"/>
    <x v="0"/>
    <x v="6"/>
    <x v="540"/>
    <x v="195"/>
    <x v="540"/>
    <x v="195"/>
    <x v="4"/>
  </r>
  <r>
    <x v="134"/>
    <x v="0"/>
    <x v="5"/>
    <x v="541"/>
    <x v="195"/>
    <x v="541"/>
    <x v="195"/>
    <x v="4"/>
  </r>
  <r>
    <x v="134"/>
    <x v="0"/>
    <x v="4"/>
    <x v="542"/>
    <x v="195"/>
    <x v="542"/>
    <x v="195"/>
    <x v="4"/>
  </r>
  <r>
    <x v="134"/>
    <x v="0"/>
    <x v="3"/>
    <x v="543"/>
    <x v="195"/>
    <x v="543"/>
    <x v="195"/>
    <x v="4"/>
  </r>
  <r>
    <x v="134"/>
    <x v="0"/>
    <x v="2"/>
    <x v="544"/>
    <x v="195"/>
    <x v="544"/>
    <x v="195"/>
    <x v="4"/>
  </r>
  <r>
    <x v="134"/>
    <x v="0"/>
    <x v="1"/>
    <x v="545"/>
    <x v="376"/>
    <x v="545"/>
    <x v="376"/>
    <x v="4"/>
  </r>
  <r>
    <x v="134"/>
    <x v="0"/>
    <x v="0"/>
    <x v="546"/>
    <x v="377"/>
    <x v="546"/>
    <x v="377"/>
    <x v="4"/>
  </r>
  <r>
    <x v="134"/>
    <x v="1"/>
    <x v="1"/>
    <x v="547"/>
    <x v="378"/>
    <x v="547"/>
    <x v="378"/>
    <x v="4"/>
  </r>
  <r>
    <x v="134"/>
    <x v="1"/>
    <x v="0"/>
    <x v="548"/>
    <x v="379"/>
    <x v="548"/>
    <x v="379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55">
  <r>
    <x v="0"/>
    <x v="0"/>
    <x v="0"/>
    <x v="0"/>
    <x v="0"/>
    <x v="0"/>
    <x v="0"/>
    <x v="0"/>
    <x v="0"/>
    <x v="0"/>
  </r>
  <r>
    <x v="0"/>
    <x v="1"/>
    <x v="0"/>
    <x v="1"/>
    <x v="1"/>
    <x v="1"/>
    <x v="1"/>
    <x v="1"/>
    <x v="1"/>
    <x v="1"/>
  </r>
  <r>
    <x v="0"/>
    <x v="2"/>
    <x v="0"/>
    <x v="2"/>
    <x v="2"/>
    <x v="2"/>
    <x v="2"/>
    <x v="2"/>
    <x v="2"/>
    <x v="1"/>
  </r>
  <r>
    <x v="0"/>
    <x v="3"/>
    <x v="0"/>
    <x v="3"/>
    <x v="3"/>
    <x v="3"/>
    <x v="3"/>
    <x v="3"/>
    <x v="3"/>
    <x v="2"/>
  </r>
  <r>
    <x v="0"/>
    <x v="4"/>
    <x v="0"/>
    <x v="4"/>
    <x v="4"/>
    <x v="4"/>
    <x v="4"/>
    <x v="4"/>
    <x v="4"/>
    <x v="3"/>
  </r>
  <r>
    <x v="0"/>
    <x v="5"/>
    <x v="0"/>
    <x v="5"/>
    <x v="5"/>
    <x v="5"/>
    <x v="5"/>
    <x v="5"/>
    <x v="5"/>
    <x v="3"/>
  </r>
  <r>
    <x v="0"/>
    <x v="6"/>
    <x v="0"/>
    <x v="6"/>
    <x v="6"/>
    <x v="3"/>
    <x v="6"/>
    <x v="6"/>
    <x v="6"/>
    <x v="1"/>
  </r>
  <r>
    <x v="0"/>
    <x v="6"/>
    <x v="1"/>
    <x v="7"/>
    <x v="7"/>
    <x v="6"/>
    <x v="7"/>
    <x v="7"/>
    <x v="7"/>
    <x v="2"/>
  </r>
  <r>
    <x v="0"/>
    <x v="7"/>
    <x v="0"/>
    <x v="8"/>
    <x v="8"/>
    <x v="7"/>
    <x v="8"/>
    <x v="8"/>
    <x v="8"/>
    <x v="1"/>
  </r>
  <r>
    <x v="0"/>
    <x v="7"/>
    <x v="1"/>
    <x v="9"/>
    <x v="9"/>
    <x v="8"/>
    <x v="9"/>
    <x v="9"/>
    <x v="9"/>
    <x v="4"/>
  </r>
  <r>
    <x v="0"/>
    <x v="8"/>
    <x v="0"/>
    <x v="10"/>
    <x v="10"/>
    <x v="7"/>
    <x v="10"/>
    <x v="10"/>
    <x v="0"/>
    <x v="3"/>
  </r>
  <r>
    <x v="0"/>
    <x v="8"/>
    <x v="1"/>
    <x v="11"/>
    <x v="11"/>
    <x v="0"/>
    <x v="11"/>
    <x v="11"/>
    <x v="10"/>
    <x v="3"/>
  </r>
  <r>
    <x v="0"/>
    <x v="9"/>
    <x v="0"/>
    <x v="12"/>
    <x v="12"/>
    <x v="5"/>
    <x v="12"/>
    <x v="12"/>
    <x v="11"/>
    <x v="4"/>
  </r>
  <r>
    <x v="0"/>
    <x v="9"/>
    <x v="1"/>
    <x v="13"/>
    <x v="13"/>
    <x v="5"/>
    <x v="13"/>
    <x v="13"/>
    <x v="12"/>
    <x v="5"/>
  </r>
  <r>
    <x v="0"/>
    <x v="10"/>
    <x v="0"/>
    <x v="14"/>
    <x v="14"/>
    <x v="5"/>
    <x v="14"/>
    <x v="14"/>
    <x v="13"/>
    <x v="4"/>
  </r>
  <r>
    <x v="0"/>
    <x v="11"/>
    <x v="0"/>
    <x v="15"/>
    <x v="15"/>
    <x v="9"/>
    <x v="15"/>
    <x v="15"/>
    <x v="14"/>
    <x v="4"/>
  </r>
  <r>
    <x v="0"/>
    <x v="11"/>
    <x v="1"/>
    <x v="16"/>
    <x v="16"/>
    <x v="9"/>
    <x v="16"/>
    <x v="16"/>
    <x v="15"/>
    <x v="5"/>
  </r>
  <r>
    <x v="0"/>
    <x v="12"/>
    <x v="0"/>
    <x v="17"/>
    <x v="17"/>
    <x v="9"/>
    <x v="17"/>
    <x v="17"/>
    <x v="16"/>
    <x v="4"/>
  </r>
  <r>
    <x v="0"/>
    <x v="12"/>
    <x v="1"/>
    <x v="18"/>
    <x v="18"/>
    <x v="4"/>
    <x v="6"/>
    <x v="18"/>
    <x v="17"/>
    <x v="4"/>
  </r>
  <r>
    <x v="0"/>
    <x v="13"/>
    <x v="0"/>
    <x v="19"/>
    <x v="19"/>
    <x v="8"/>
    <x v="18"/>
    <x v="19"/>
    <x v="18"/>
    <x v="4"/>
  </r>
  <r>
    <x v="0"/>
    <x v="14"/>
    <x v="0"/>
    <x v="20"/>
    <x v="20"/>
    <x v="7"/>
    <x v="19"/>
    <x v="20"/>
    <x v="19"/>
    <x v="2"/>
  </r>
  <r>
    <x v="0"/>
    <x v="15"/>
    <x v="0"/>
    <x v="21"/>
    <x v="21"/>
    <x v="9"/>
    <x v="20"/>
    <x v="21"/>
    <x v="20"/>
    <x v="4"/>
  </r>
  <r>
    <x v="0"/>
    <x v="16"/>
    <x v="0"/>
    <x v="22"/>
    <x v="22"/>
    <x v="7"/>
    <x v="21"/>
    <x v="22"/>
    <x v="21"/>
    <x v="5"/>
  </r>
  <r>
    <x v="0"/>
    <x v="17"/>
    <x v="0"/>
    <x v="23"/>
    <x v="23"/>
    <x v="10"/>
    <x v="22"/>
    <x v="23"/>
    <x v="22"/>
    <x v="6"/>
  </r>
  <r>
    <x v="0"/>
    <x v="18"/>
    <x v="0"/>
    <x v="24"/>
    <x v="24"/>
    <x v="10"/>
    <x v="23"/>
    <x v="24"/>
    <x v="23"/>
    <x v="7"/>
  </r>
  <r>
    <x v="0"/>
    <x v="19"/>
    <x v="0"/>
    <x v="25"/>
    <x v="25"/>
    <x v="5"/>
    <x v="24"/>
    <x v="25"/>
    <x v="24"/>
    <x v="8"/>
  </r>
  <r>
    <x v="0"/>
    <x v="20"/>
    <x v="0"/>
    <x v="26"/>
    <x v="26"/>
    <x v="11"/>
    <x v="25"/>
    <x v="26"/>
    <x v="25"/>
    <x v="7"/>
  </r>
  <r>
    <x v="0"/>
    <x v="21"/>
    <x v="0"/>
    <x v="27"/>
    <x v="27"/>
    <x v="12"/>
    <x v="26"/>
    <x v="27"/>
    <x v="26"/>
    <x v="9"/>
  </r>
  <r>
    <x v="0"/>
    <x v="22"/>
    <x v="0"/>
    <x v="28"/>
    <x v="28"/>
    <x v="13"/>
    <x v="27"/>
    <x v="28"/>
    <x v="27"/>
    <x v="8"/>
  </r>
  <r>
    <x v="0"/>
    <x v="23"/>
    <x v="0"/>
    <x v="29"/>
    <x v="29"/>
    <x v="14"/>
    <x v="28"/>
    <x v="29"/>
    <x v="28"/>
    <x v="10"/>
  </r>
  <r>
    <x v="0"/>
    <x v="24"/>
    <x v="0"/>
    <x v="30"/>
    <x v="30"/>
    <x v="11"/>
    <x v="29"/>
    <x v="30"/>
    <x v="29"/>
    <x v="7"/>
  </r>
  <r>
    <x v="0"/>
    <x v="25"/>
    <x v="0"/>
    <x v="29"/>
    <x v="31"/>
    <x v="15"/>
    <x v="30"/>
    <x v="31"/>
    <x v="30"/>
    <x v="10"/>
  </r>
  <r>
    <x v="0"/>
    <x v="26"/>
    <x v="0"/>
    <x v="31"/>
    <x v="32"/>
    <x v="16"/>
    <x v="31"/>
    <x v="32"/>
    <x v="31"/>
    <x v="11"/>
  </r>
  <r>
    <x v="0"/>
    <x v="27"/>
    <x v="0"/>
    <x v="32"/>
    <x v="33"/>
    <x v="17"/>
    <x v="32"/>
    <x v="33"/>
    <x v="32"/>
    <x v="5"/>
  </r>
  <r>
    <x v="0"/>
    <x v="28"/>
    <x v="0"/>
    <x v="33"/>
    <x v="34"/>
    <x v="18"/>
    <x v="33"/>
    <x v="34"/>
    <x v="33"/>
    <x v="12"/>
  </r>
  <r>
    <x v="0"/>
    <x v="29"/>
    <x v="0"/>
    <x v="23"/>
    <x v="35"/>
    <x v="19"/>
    <x v="34"/>
    <x v="35"/>
    <x v="34"/>
    <x v="13"/>
  </r>
  <r>
    <x v="0"/>
    <x v="30"/>
    <x v="0"/>
    <x v="23"/>
    <x v="36"/>
    <x v="20"/>
    <x v="35"/>
    <x v="36"/>
    <x v="35"/>
    <x v="7"/>
  </r>
  <r>
    <x v="0"/>
    <x v="31"/>
    <x v="0"/>
    <x v="34"/>
    <x v="37"/>
    <x v="21"/>
    <x v="36"/>
    <x v="37"/>
    <x v="36"/>
    <x v="14"/>
  </r>
  <r>
    <x v="0"/>
    <x v="32"/>
    <x v="0"/>
    <x v="29"/>
    <x v="38"/>
    <x v="22"/>
    <x v="37"/>
    <x v="38"/>
    <x v="37"/>
    <x v="15"/>
  </r>
  <r>
    <x v="0"/>
    <x v="33"/>
    <x v="0"/>
    <x v="29"/>
    <x v="39"/>
    <x v="23"/>
    <x v="38"/>
    <x v="39"/>
    <x v="38"/>
    <x v="16"/>
  </r>
  <r>
    <x v="0"/>
    <x v="34"/>
    <x v="0"/>
    <x v="35"/>
    <x v="40"/>
    <x v="24"/>
    <x v="39"/>
    <x v="40"/>
    <x v="39"/>
    <x v="17"/>
  </r>
  <r>
    <x v="0"/>
    <x v="35"/>
    <x v="0"/>
    <x v="26"/>
    <x v="41"/>
    <x v="23"/>
    <x v="40"/>
    <x v="41"/>
    <x v="40"/>
    <x v="14"/>
  </r>
  <r>
    <x v="0"/>
    <x v="36"/>
    <x v="0"/>
    <x v="36"/>
    <x v="42"/>
    <x v="25"/>
    <x v="41"/>
    <x v="42"/>
    <x v="41"/>
    <x v="17"/>
  </r>
  <r>
    <x v="0"/>
    <x v="37"/>
    <x v="0"/>
    <x v="36"/>
    <x v="43"/>
    <x v="22"/>
    <x v="42"/>
    <x v="43"/>
    <x v="42"/>
    <x v="17"/>
  </r>
  <r>
    <x v="0"/>
    <x v="38"/>
    <x v="0"/>
    <x v="32"/>
    <x v="44"/>
    <x v="26"/>
    <x v="43"/>
    <x v="44"/>
    <x v="43"/>
    <x v="18"/>
  </r>
  <r>
    <x v="0"/>
    <x v="39"/>
    <x v="0"/>
    <x v="37"/>
    <x v="45"/>
    <x v="11"/>
    <x v="44"/>
    <x v="45"/>
    <x v="44"/>
    <x v="12"/>
  </r>
  <r>
    <x v="0"/>
    <x v="39"/>
    <x v="1"/>
    <x v="38"/>
    <x v="46"/>
    <x v="9"/>
    <x v="45"/>
    <x v="46"/>
    <x v="45"/>
    <x v="11"/>
  </r>
  <r>
    <x v="0"/>
    <x v="40"/>
    <x v="0"/>
    <x v="14"/>
    <x v="47"/>
    <x v="19"/>
    <x v="28"/>
    <x v="47"/>
    <x v="46"/>
    <x v="15"/>
  </r>
  <r>
    <x v="0"/>
    <x v="41"/>
    <x v="0"/>
    <x v="36"/>
    <x v="48"/>
    <x v="27"/>
    <x v="46"/>
    <x v="48"/>
    <x v="47"/>
    <x v="17"/>
  </r>
  <r>
    <x v="0"/>
    <x v="42"/>
    <x v="0"/>
    <x v="14"/>
    <x v="33"/>
    <x v="23"/>
    <x v="47"/>
    <x v="49"/>
    <x v="48"/>
    <x v="19"/>
  </r>
  <r>
    <x v="0"/>
    <x v="43"/>
    <x v="0"/>
    <x v="39"/>
    <x v="49"/>
    <x v="27"/>
    <x v="25"/>
    <x v="50"/>
    <x v="49"/>
    <x v="20"/>
  </r>
  <r>
    <x v="0"/>
    <x v="44"/>
    <x v="0"/>
    <x v="32"/>
    <x v="50"/>
    <x v="25"/>
    <x v="48"/>
    <x v="51"/>
    <x v="50"/>
    <x v="17"/>
  </r>
  <r>
    <x v="0"/>
    <x v="45"/>
    <x v="0"/>
    <x v="23"/>
    <x v="51"/>
    <x v="28"/>
    <x v="49"/>
    <x v="52"/>
    <x v="51"/>
    <x v="21"/>
  </r>
  <r>
    <x v="0"/>
    <x v="46"/>
    <x v="0"/>
    <x v="31"/>
    <x v="43"/>
    <x v="25"/>
    <x v="50"/>
    <x v="53"/>
    <x v="48"/>
    <x v="22"/>
  </r>
  <r>
    <x v="0"/>
    <x v="47"/>
    <x v="0"/>
    <x v="40"/>
    <x v="52"/>
    <x v="17"/>
    <x v="51"/>
    <x v="54"/>
    <x v="52"/>
    <x v="15"/>
  </r>
  <r>
    <x v="0"/>
    <x v="48"/>
    <x v="0"/>
    <x v="29"/>
    <x v="53"/>
    <x v="29"/>
    <x v="52"/>
    <x v="55"/>
    <x v="53"/>
    <x v="15"/>
  </r>
  <r>
    <x v="0"/>
    <x v="49"/>
    <x v="0"/>
    <x v="41"/>
    <x v="54"/>
    <x v="19"/>
    <x v="53"/>
    <x v="56"/>
    <x v="54"/>
    <x v="18"/>
  </r>
  <r>
    <x v="0"/>
    <x v="50"/>
    <x v="0"/>
    <x v="36"/>
    <x v="55"/>
    <x v="27"/>
    <x v="54"/>
    <x v="57"/>
    <x v="55"/>
    <x v="19"/>
  </r>
  <r>
    <x v="0"/>
    <x v="51"/>
    <x v="0"/>
    <x v="42"/>
    <x v="56"/>
    <x v="14"/>
    <x v="55"/>
    <x v="58"/>
    <x v="56"/>
    <x v="23"/>
  </r>
  <r>
    <x v="0"/>
    <x v="52"/>
    <x v="0"/>
    <x v="23"/>
    <x v="57"/>
    <x v="15"/>
    <x v="56"/>
    <x v="59"/>
    <x v="57"/>
    <x v="17"/>
  </r>
  <r>
    <x v="0"/>
    <x v="53"/>
    <x v="0"/>
    <x v="31"/>
    <x v="58"/>
    <x v="22"/>
    <x v="9"/>
    <x v="60"/>
    <x v="50"/>
    <x v="18"/>
  </r>
  <r>
    <x v="0"/>
    <x v="54"/>
    <x v="0"/>
    <x v="29"/>
    <x v="59"/>
    <x v="30"/>
    <x v="57"/>
    <x v="61"/>
    <x v="58"/>
    <x v="20"/>
  </r>
  <r>
    <x v="0"/>
    <x v="55"/>
    <x v="0"/>
    <x v="32"/>
    <x v="50"/>
    <x v="21"/>
    <x v="58"/>
    <x v="62"/>
    <x v="59"/>
    <x v="21"/>
  </r>
  <r>
    <x v="0"/>
    <x v="56"/>
    <x v="0"/>
    <x v="36"/>
    <x v="60"/>
    <x v="21"/>
    <x v="59"/>
    <x v="63"/>
    <x v="60"/>
    <x v="24"/>
  </r>
  <r>
    <x v="0"/>
    <x v="57"/>
    <x v="0"/>
    <x v="43"/>
    <x v="58"/>
    <x v="15"/>
    <x v="60"/>
    <x v="64"/>
    <x v="48"/>
    <x v="21"/>
  </r>
  <r>
    <x v="0"/>
    <x v="58"/>
    <x v="0"/>
    <x v="31"/>
    <x v="40"/>
    <x v="14"/>
    <x v="61"/>
    <x v="65"/>
    <x v="61"/>
    <x v="19"/>
  </r>
  <r>
    <x v="0"/>
    <x v="59"/>
    <x v="0"/>
    <x v="44"/>
    <x v="61"/>
    <x v="29"/>
    <x v="35"/>
    <x v="66"/>
    <x v="62"/>
    <x v="24"/>
  </r>
  <r>
    <x v="0"/>
    <x v="60"/>
    <x v="0"/>
    <x v="23"/>
    <x v="62"/>
    <x v="29"/>
    <x v="62"/>
    <x v="67"/>
    <x v="60"/>
    <x v="21"/>
  </r>
  <r>
    <x v="0"/>
    <x v="61"/>
    <x v="0"/>
    <x v="29"/>
    <x v="63"/>
    <x v="17"/>
    <x v="63"/>
    <x v="68"/>
    <x v="63"/>
    <x v="17"/>
  </r>
  <r>
    <x v="0"/>
    <x v="62"/>
    <x v="0"/>
    <x v="29"/>
    <x v="64"/>
    <x v="10"/>
    <x v="64"/>
    <x v="69"/>
    <x v="64"/>
    <x v="15"/>
  </r>
  <r>
    <x v="0"/>
    <x v="63"/>
    <x v="0"/>
    <x v="45"/>
    <x v="65"/>
    <x v="5"/>
    <x v="65"/>
    <x v="70"/>
    <x v="65"/>
    <x v="12"/>
  </r>
  <r>
    <x v="0"/>
    <x v="64"/>
    <x v="0"/>
    <x v="46"/>
    <x v="66"/>
    <x v="18"/>
    <x v="66"/>
    <x v="71"/>
    <x v="66"/>
    <x v="18"/>
  </r>
  <r>
    <x v="0"/>
    <x v="65"/>
    <x v="0"/>
    <x v="29"/>
    <x v="67"/>
    <x v="2"/>
    <x v="67"/>
    <x v="72"/>
    <x v="67"/>
    <x v="6"/>
  </r>
  <r>
    <x v="0"/>
    <x v="66"/>
    <x v="0"/>
    <x v="47"/>
    <x v="43"/>
    <x v="16"/>
    <x v="68"/>
    <x v="73"/>
    <x v="68"/>
    <x v="20"/>
  </r>
  <r>
    <x v="0"/>
    <x v="67"/>
    <x v="0"/>
    <x v="48"/>
    <x v="68"/>
    <x v="13"/>
    <x v="69"/>
    <x v="74"/>
    <x v="69"/>
    <x v="17"/>
  </r>
  <r>
    <x v="0"/>
    <x v="68"/>
    <x v="0"/>
    <x v="14"/>
    <x v="69"/>
    <x v="14"/>
    <x v="70"/>
    <x v="75"/>
    <x v="70"/>
    <x v="22"/>
  </r>
  <r>
    <x v="0"/>
    <x v="69"/>
    <x v="0"/>
    <x v="31"/>
    <x v="70"/>
    <x v="17"/>
    <x v="71"/>
    <x v="76"/>
    <x v="71"/>
    <x v="20"/>
  </r>
  <r>
    <x v="0"/>
    <x v="70"/>
    <x v="0"/>
    <x v="49"/>
    <x v="71"/>
    <x v="11"/>
    <x v="70"/>
    <x v="77"/>
    <x v="72"/>
    <x v="18"/>
  </r>
  <r>
    <x v="0"/>
    <x v="71"/>
    <x v="0"/>
    <x v="39"/>
    <x v="72"/>
    <x v="22"/>
    <x v="72"/>
    <x v="78"/>
    <x v="48"/>
    <x v="25"/>
  </r>
  <r>
    <x v="0"/>
    <x v="72"/>
    <x v="0"/>
    <x v="31"/>
    <x v="73"/>
    <x v="14"/>
    <x v="73"/>
    <x v="79"/>
    <x v="73"/>
    <x v="21"/>
  </r>
  <r>
    <x v="0"/>
    <x v="73"/>
    <x v="0"/>
    <x v="31"/>
    <x v="34"/>
    <x v="16"/>
    <x v="74"/>
    <x v="80"/>
    <x v="74"/>
    <x v="19"/>
  </r>
  <r>
    <x v="0"/>
    <x v="74"/>
    <x v="0"/>
    <x v="14"/>
    <x v="74"/>
    <x v="13"/>
    <x v="69"/>
    <x v="81"/>
    <x v="75"/>
    <x v="26"/>
  </r>
  <r>
    <x v="0"/>
    <x v="75"/>
    <x v="0"/>
    <x v="31"/>
    <x v="75"/>
    <x v="11"/>
    <x v="75"/>
    <x v="82"/>
    <x v="76"/>
    <x v="19"/>
  </r>
  <r>
    <x v="0"/>
    <x v="76"/>
    <x v="0"/>
    <x v="29"/>
    <x v="76"/>
    <x v="16"/>
    <x v="76"/>
    <x v="83"/>
    <x v="77"/>
    <x v="19"/>
  </r>
  <r>
    <x v="0"/>
    <x v="77"/>
    <x v="0"/>
    <x v="14"/>
    <x v="77"/>
    <x v="18"/>
    <x v="77"/>
    <x v="84"/>
    <x v="78"/>
    <x v="19"/>
  </r>
  <r>
    <x v="0"/>
    <x v="78"/>
    <x v="0"/>
    <x v="50"/>
    <x v="78"/>
    <x v="17"/>
    <x v="78"/>
    <x v="85"/>
    <x v="79"/>
    <x v="20"/>
  </r>
  <r>
    <x v="0"/>
    <x v="79"/>
    <x v="0"/>
    <x v="51"/>
    <x v="78"/>
    <x v="11"/>
    <x v="79"/>
    <x v="86"/>
    <x v="80"/>
    <x v="18"/>
  </r>
  <r>
    <x v="0"/>
    <x v="80"/>
    <x v="0"/>
    <x v="52"/>
    <x v="79"/>
    <x v="9"/>
    <x v="80"/>
    <x v="87"/>
    <x v="81"/>
    <x v="16"/>
  </r>
  <r>
    <x v="0"/>
    <x v="81"/>
    <x v="0"/>
    <x v="53"/>
    <x v="78"/>
    <x v="17"/>
    <x v="81"/>
    <x v="88"/>
    <x v="82"/>
    <x v="20"/>
  </r>
  <r>
    <x v="0"/>
    <x v="82"/>
    <x v="0"/>
    <x v="17"/>
    <x v="80"/>
    <x v="18"/>
    <x v="82"/>
    <x v="89"/>
    <x v="83"/>
    <x v="19"/>
  </r>
  <r>
    <x v="0"/>
    <x v="83"/>
    <x v="0"/>
    <x v="54"/>
    <x v="81"/>
    <x v="20"/>
    <x v="83"/>
    <x v="90"/>
    <x v="84"/>
    <x v="23"/>
  </r>
  <r>
    <x v="0"/>
    <x v="84"/>
    <x v="0"/>
    <x v="55"/>
    <x v="82"/>
    <x v="16"/>
    <x v="0"/>
    <x v="91"/>
    <x v="85"/>
    <x v="19"/>
  </r>
  <r>
    <x v="0"/>
    <x v="85"/>
    <x v="0"/>
    <x v="56"/>
    <x v="83"/>
    <x v="29"/>
    <x v="84"/>
    <x v="92"/>
    <x v="86"/>
    <x v="18"/>
  </r>
  <r>
    <x v="0"/>
    <x v="86"/>
    <x v="0"/>
    <x v="39"/>
    <x v="56"/>
    <x v="29"/>
    <x v="69"/>
    <x v="93"/>
    <x v="87"/>
    <x v="19"/>
  </r>
  <r>
    <x v="0"/>
    <x v="87"/>
    <x v="0"/>
    <x v="57"/>
    <x v="84"/>
    <x v="10"/>
    <x v="85"/>
    <x v="94"/>
    <x v="88"/>
    <x v="17"/>
  </r>
  <r>
    <x v="0"/>
    <x v="88"/>
    <x v="0"/>
    <x v="58"/>
    <x v="85"/>
    <x v="13"/>
    <x v="86"/>
    <x v="95"/>
    <x v="89"/>
    <x v="17"/>
  </r>
  <r>
    <x v="0"/>
    <x v="89"/>
    <x v="0"/>
    <x v="59"/>
    <x v="86"/>
    <x v="31"/>
    <x v="87"/>
    <x v="96"/>
    <x v="90"/>
    <x v="16"/>
  </r>
  <r>
    <x v="0"/>
    <x v="90"/>
    <x v="0"/>
    <x v="60"/>
    <x v="87"/>
    <x v="9"/>
    <x v="88"/>
    <x v="97"/>
    <x v="91"/>
    <x v="11"/>
  </r>
  <r>
    <x v="0"/>
    <x v="91"/>
    <x v="0"/>
    <x v="61"/>
    <x v="88"/>
    <x v="32"/>
    <x v="89"/>
    <x v="98"/>
    <x v="92"/>
    <x v="6"/>
  </r>
  <r>
    <x v="0"/>
    <x v="92"/>
    <x v="0"/>
    <x v="62"/>
    <x v="89"/>
    <x v="31"/>
    <x v="90"/>
    <x v="99"/>
    <x v="93"/>
    <x v="15"/>
  </r>
  <r>
    <x v="0"/>
    <x v="93"/>
    <x v="0"/>
    <x v="63"/>
    <x v="90"/>
    <x v="33"/>
    <x v="91"/>
    <x v="100"/>
    <x v="94"/>
    <x v="13"/>
  </r>
  <r>
    <x v="0"/>
    <x v="94"/>
    <x v="0"/>
    <x v="64"/>
    <x v="91"/>
    <x v="20"/>
    <x v="82"/>
    <x v="101"/>
    <x v="95"/>
    <x v="14"/>
  </r>
  <r>
    <x v="0"/>
    <x v="95"/>
    <x v="0"/>
    <x v="65"/>
    <x v="92"/>
    <x v="5"/>
    <x v="92"/>
    <x v="102"/>
    <x v="96"/>
    <x v="10"/>
  </r>
  <r>
    <x v="0"/>
    <x v="96"/>
    <x v="0"/>
    <x v="66"/>
    <x v="93"/>
    <x v="31"/>
    <x v="93"/>
    <x v="103"/>
    <x v="97"/>
    <x v="13"/>
  </r>
  <r>
    <x v="0"/>
    <x v="97"/>
    <x v="0"/>
    <x v="67"/>
    <x v="94"/>
    <x v="34"/>
    <x v="94"/>
    <x v="104"/>
    <x v="98"/>
    <x v="27"/>
  </r>
  <r>
    <x v="0"/>
    <x v="98"/>
    <x v="0"/>
    <x v="68"/>
    <x v="95"/>
    <x v="31"/>
    <x v="95"/>
    <x v="105"/>
    <x v="99"/>
    <x v="15"/>
  </r>
  <r>
    <x v="0"/>
    <x v="99"/>
    <x v="0"/>
    <x v="69"/>
    <x v="96"/>
    <x v="8"/>
    <x v="96"/>
    <x v="106"/>
    <x v="100"/>
    <x v="11"/>
  </r>
  <r>
    <x v="0"/>
    <x v="100"/>
    <x v="0"/>
    <x v="70"/>
    <x v="97"/>
    <x v="34"/>
    <x v="97"/>
    <x v="107"/>
    <x v="101"/>
    <x v="13"/>
  </r>
  <r>
    <x v="0"/>
    <x v="101"/>
    <x v="0"/>
    <x v="71"/>
    <x v="98"/>
    <x v="5"/>
    <x v="98"/>
    <x v="108"/>
    <x v="102"/>
    <x v="14"/>
  </r>
  <r>
    <x v="0"/>
    <x v="102"/>
    <x v="0"/>
    <x v="14"/>
    <x v="99"/>
    <x v="9"/>
    <x v="99"/>
    <x v="109"/>
    <x v="103"/>
    <x v="14"/>
  </r>
  <r>
    <x v="1"/>
    <x v="5"/>
    <x v="0"/>
    <x v="72"/>
    <x v="100"/>
    <x v="1"/>
    <x v="88"/>
    <x v="110"/>
    <x v="104"/>
    <x v="3"/>
  </r>
  <r>
    <x v="1"/>
    <x v="6"/>
    <x v="0"/>
    <x v="73"/>
    <x v="101"/>
    <x v="1"/>
    <x v="100"/>
    <x v="111"/>
    <x v="105"/>
    <x v="1"/>
  </r>
  <r>
    <x v="1"/>
    <x v="7"/>
    <x v="0"/>
    <x v="74"/>
    <x v="102"/>
    <x v="10"/>
    <x v="101"/>
    <x v="112"/>
    <x v="106"/>
    <x v="2"/>
  </r>
  <r>
    <x v="1"/>
    <x v="8"/>
    <x v="0"/>
    <x v="75"/>
    <x v="103"/>
    <x v="9"/>
    <x v="102"/>
    <x v="113"/>
    <x v="107"/>
    <x v="4"/>
  </r>
  <r>
    <x v="1"/>
    <x v="9"/>
    <x v="0"/>
    <x v="76"/>
    <x v="104"/>
    <x v="8"/>
    <x v="103"/>
    <x v="114"/>
    <x v="108"/>
    <x v="3"/>
  </r>
  <r>
    <x v="1"/>
    <x v="103"/>
    <x v="0"/>
    <x v="77"/>
    <x v="105"/>
    <x v="11"/>
    <x v="104"/>
    <x v="115"/>
    <x v="109"/>
    <x v="4"/>
  </r>
  <r>
    <x v="1"/>
    <x v="103"/>
    <x v="1"/>
    <x v="78"/>
    <x v="106"/>
    <x v="11"/>
    <x v="80"/>
    <x v="116"/>
    <x v="110"/>
    <x v="27"/>
  </r>
  <r>
    <x v="1"/>
    <x v="11"/>
    <x v="0"/>
    <x v="79"/>
    <x v="107"/>
    <x v="33"/>
    <x v="105"/>
    <x v="117"/>
    <x v="111"/>
    <x v="4"/>
  </r>
  <r>
    <x v="1"/>
    <x v="11"/>
    <x v="1"/>
    <x v="80"/>
    <x v="108"/>
    <x v="9"/>
    <x v="35"/>
    <x v="118"/>
    <x v="112"/>
    <x v="2"/>
  </r>
  <r>
    <x v="1"/>
    <x v="12"/>
    <x v="0"/>
    <x v="81"/>
    <x v="109"/>
    <x v="13"/>
    <x v="106"/>
    <x v="119"/>
    <x v="113"/>
    <x v="2"/>
  </r>
  <r>
    <x v="1"/>
    <x v="12"/>
    <x v="1"/>
    <x v="82"/>
    <x v="110"/>
    <x v="13"/>
    <x v="107"/>
    <x v="120"/>
    <x v="114"/>
    <x v="5"/>
  </r>
  <r>
    <x v="1"/>
    <x v="13"/>
    <x v="0"/>
    <x v="83"/>
    <x v="111"/>
    <x v="17"/>
    <x v="108"/>
    <x v="121"/>
    <x v="115"/>
    <x v="8"/>
  </r>
  <r>
    <x v="1"/>
    <x v="13"/>
    <x v="1"/>
    <x v="84"/>
    <x v="112"/>
    <x v="5"/>
    <x v="109"/>
    <x v="122"/>
    <x v="116"/>
    <x v="5"/>
  </r>
  <r>
    <x v="1"/>
    <x v="13"/>
    <x v="2"/>
    <x v="85"/>
    <x v="113"/>
    <x v="17"/>
    <x v="23"/>
    <x v="123"/>
    <x v="117"/>
    <x v="7"/>
  </r>
  <r>
    <x v="1"/>
    <x v="14"/>
    <x v="0"/>
    <x v="86"/>
    <x v="114"/>
    <x v="31"/>
    <x v="110"/>
    <x v="124"/>
    <x v="118"/>
    <x v="8"/>
  </r>
  <r>
    <x v="1"/>
    <x v="15"/>
    <x v="0"/>
    <x v="87"/>
    <x v="115"/>
    <x v="8"/>
    <x v="101"/>
    <x v="125"/>
    <x v="119"/>
    <x v="4"/>
  </r>
  <r>
    <x v="1"/>
    <x v="16"/>
    <x v="0"/>
    <x v="88"/>
    <x v="116"/>
    <x v="11"/>
    <x v="111"/>
    <x v="126"/>
    <x v="120"/>
    <x v="5"/>
  </r>
  <r>
    <x v="1"/>
    <x v="16"/>
    <x v="1"/>
    <x v="89"/>
    <x v="117"/>
    <x v="9"/>
    <x v="112"/>
    <x v="127"/>
    <x v="121"/>
    <x v="27"/>
  </r>
  <r>
    <x v="1"/>
    <x v="17"/>
    <x v="0"/>
    <x v="90"/>
    <x v="118"/>
    <x v="33"/>
    <x v="113"/>
    <x v="128"/>
    <x v="122"/>
    <x v="3"/>
  </r>
  <r>
    <x v="1"/>
    <x v="18"/>
    <x v="0"/>
    <x v="91"/>
    <x v="119"/>
    <x v="13"/>
    <x v="114"/>
    <x v="129"/>
    <x v="123"/>
    <x v="2"/>
  </r>
  <r>
    <x v="1"/>
    <x v="19"/>
    <x v="0"/>
    <x v="92"/>
    <x v="120"/>
    <x v="16"/>
    <x v="115"/>
    <x v="130"/>
    <x v="124"/>
    <x v="4"/>
  </r>
  <r>
    <x v="1"/>
    <x v="20"/>
    <x v="0"/>
    <x v="93"/>
    <x v="121"/>
    <x v="13"/>
    <x v="116"/>
    <x v="131"/>
    <x v="125"/>
    <x v="2"/>
  </r>
  <r>
    <x v="1"/>
    <x v="21"/>
    <x v="0"/>
    <x v="28"/>
    <x v="28"/>
    <x v="13"/>
    <x v="27"/>
    <x v="28"/>
    <x v="27"/>
    <x v="8"/>
  </r>
  <r>
    <x v="1"/>
    <x v="23"/>
    <x v="0"/>
    <x v="94"/>
    <x v="122"/>
    <x v="11"/>
    <x v="117"/>
    <x v="132"/>
    <x v="126"/>
    <x v="5"/>
  </r>
  <r>
    <x v="1"/>
    <x v="24"/>
    <x v="0"/>
    <x v="95"/>
    <x v="123"/>
    <x v="5"/>
    <x v="118"/>
    <x v="133"/>
    <x v="127"/>
    <x v="4"/>
  </r>
  <r>
    <x v="1"/>
    <x v="25"/>
    <x v="0"/>
    <x v="96"/>
    <x v="124"/>
    <x v="11"/>
    <x v="9"/>
    <x v="134"/>
    <x v="128"/>
    <x v="8"/>
  </r>
  <r>
    <x v="1"/>
    <x v="25"/>
    <x v="1"/>
    <x v="97"/>
    <x v="125"/>
    <x v="11"/>
    <x v="119"/>
    <x v="135"/>
    <x v="129"/>
    <x v="4"/>
  </r>
  <r>
    <x v="1"/>
    <x v="26"/>
    <x v="0"/>
    <x v="98"/>
    <x v="126"/>
    <x v="17"/>
    <x v="120"/>
    <x v="136"/>
    <x v="130"/>
    <x v="5"/>
  </r>
  <r>
    <x v="1"/>
    <x v="26"/>
    <x v="1"/>
    <x v="99"/>
    <x v="127"/>
    <x v="18"/>
    <x v="121"/>
    <x v="137"/>
    <x v="131"/>
    <x v="5"/>
  </r>
  <r>
    <x v="1"/>
    <x v="27"/>
    <x v="0"/>
    <x v="100"/>
    <x v="128"/>
    <x v="14"/>
    <x v="19"/>
    <x v="138"/>
    <x v="132"/>
    <x v="8"/>
  </r>
  <r>
    <x v="1"/>
    <x v="27"/>
    <x v="1"/>
    <x v="101"/>
    <x v="129"/>
    <x v="33"/>
    <x v="122"/>
    <x v="139"/>
    <x v="133"/>
    <x v="6"/>
  </r>
  <r>
    <x v="1"/>
    <x v="28"/>
    <x v="0"/>
    <x v="14"/>
    <x v="130"/>
    <x v="15"/>
    <x v="123"/>
    <x v="140"/>
    <x v="134"/>
    <x v="8"/>
  </r>
  <r>
    <x v="1"/>
    <x v="29"/>
    <x v="0"/>
    <x v="102"/>
    <x v="131"/>
    <x v="30"/>
    <x v="67"/>
    <x v="141"/>
    <x v="135"/>
    <x v="6"/>
  </r>
  <r>
    <x v="1"/>
    <x v="29"/>
    <x v="1"/>
    <x v="103"/>
    <x v="132"/>
    <x v="18"/>
    <x v="6"/>
    <x v="142"/>
    <x v="136"/>
    <x v="6"/>
  </r>
  <r>
    <x v="1"/>
    <x v="104"/>
    <x v="0"/>
    <x v="104"/>
    <x v="133"/>
    <x v="22"/>
    <x v="124"/>
    <x v="143"/>
    <x v="137"/>
    <x v="10"/>
  </r>
  <r>
    <x v="1"/>
    <x v="104"/>
    <x v="1"/>
    <x v="35"/>
    <x v="134"/>
    <x v="25"/>
    <x v="50"/>
    <x v="144"/>
    <x v="138"/>
    <x v="10"/>
  </r>
  <r>
    <x v="1"/>
    <x v="30"/>
    <x v="0"/>
    <x v="85"/>
    <x v="135"/>
    <x v="9"/>
    <x v="125"/>
    <x v="145"/>
    <x v="139"/>
    <x v="27"/>
  </r>
  <r>
    <x v="1"/>
    <x v="31"/>
    <x v="0"/>
    <x v="105"/>
    <x v="136"/>
    <x v="35"/>
    <x v="15"/>
    <x v="146"/>
    <x v="140"/>
    <x v="10"/>
  </r>
  <r>
    <x v="1"/>
    <x v="31"/>
    <x v="1"/>
    <x v="106"/>
    <x v="137"/>
    <x v="25"/>
    <x v="126"/>
    <x v="147"/>
    <x v="141"/>
    <x v="13"/>
  </r>
  <r>
    <x v="1"/>
    <x v="32"/>
    <x v="0"/>
    <x v="107"/>
    <x v="34"/>
    <x v="19"/>
    <x v="127"/>
    <x v="148"/>
    <x v="142"/>
    <x v="27"/>
  </r>
  <r>
    <x v="1"/>
    <x v="32"/>
    <x v="1"/>
    <x v="108"/>
    <x v="138"/>
    <x v="36"/>
    <x v="128"/>
    <x v="149"/>
    <x v="143"/>
    <x v="27"/>
  </r>
  <r>
    <x v="1"/>
    <x v="33"/>
    <x v="0"/>
    <x v="14"/>
    <x v="42"/>
    <x v="23"/>
    <x v="129"/>
    <x v="150"/>
    <x v="144"/>
    <x v="27"/>
  </r>
  <r>
    <x v="1"/>
    <x v="33"/>
    <x v="1"/>
    <x v="109"/>
    <x v="139"/>
    <x v="21"/>
    <x v="130"/>
    <x v="151"/>
    <x v="145"/>
    <x v="7"/>
  </r>
  <r>
    <x v="1"/>
    <x v="34"/>
    <x v="0"/>
    <x v="94"/>
    <x v="140"/>
    <x v="37"/>
    <x v="131"/>
    <x v="152"/>
    <x v="146"/>
    <x v="27"/>
  </r>
  <r>
    <x v="1"/>
    <x v="34"/>
    <x v="1"/>
    <x v="85"/>
    <x v="141"/>
    <x v="25"/>
    <x v="132"/>
    <x v="153"/>
    <x v="47"/>
    <x v="6"/>
  </r>
  <r>
    <x v="1"/>
    <x v="35"/>
    <x v="0"/>
    <x v="29"/>
    <x v="142"/>
    <x v="36"/>
    <x v="133"/>
    <x v="154"/>
    <x v="147"/>
    <x v="8"/>
  </r>
  <r>
    <x v="1"/>
    <x v="35"/>
    <x v="1"/>
    <x v="110"/>
    <x v="143"/>
    <x v="28"/>
    <x v="134"/>
    <x v="155"/>
    <x v="148"/>
    <x v="12"/>
  </r>
  <r>
    <x v="1"/>
    <x v="36"/>
    <x v="0"/>
    <x v="111"/>
    <x v="144"/>
    <x v="27"/>
    <x v="135"/>
    <x v="156"/>
    <x v="149"/>
    <x v="12"/>
  </r>
  <r>
    <x v="1"/>
    <x v="36"/>
    <x v="1"/>
    <x v="26"/>
    <x v="145"/>
    <x v="25"/>
    <x v="136"/>
    <x v="157"/>
    <x v="46"/>
    <x v="11"/>
  </r>
  <r>
    <x v="1"/>
    <x v="37"/>
    <x v="0"/>
    <x v="112"/>
    <x v="73"/>
    <x v="21"/>
    <x v="137"/>
    <x v="158"/>
    <x v="150"/>
    <x v="10"/>
  </r>
  <r>
    <x v="1"/>
    <x v="38"/>
    <x v="0"/>
    <x v="35"/>
    <x v="146"/>
    <x v="22"/>
    <x v="138"/>
    <x v="159"/>
    <x v="151"/>
    <x v="11"/>
  </r>
  <r>
    <x v="1"/>
    <x v="38"/>
    <x v="1"/>
    <x v="35"/>
    <x v="147"/>
    <x v="21"/>
    <x v="139"/>
    <x v="160"/>
    <x v="152"/>
    <x v="11"/>
  </r>
  <r>
    <x v="1"/>
    <x v="105"/>
    <x v="0"/>
    <x v="113"/>
    <x v="148"/>
    <x v="38"/>
    <x v="140"/>
    <x v="161"/>
    <x v="87"/>
    <x v="7"/>
  </r>
  <r>
    <x v="1"/>
    <x v="105"/>
    <x v="1"/>
    <x v="114"/>
    <x v="149"/>
    <x v="39"/>
    <x v="141"/>
    <x v="162"/>
    <x v="153"/>
    <x v="6"/>
  </r>
  <r>
    <x v="1"/>
    <x v="105"/>
    <x v="2"/>
    <x v="85"/>
    <x v="150"/>
    <x v="19"/>
    <x v="142"/>
    <x v="163"/>
    <x v="154"/>
    <x v="10"/>
  </r>
  <r>
    <x v="1"/>
    <x v="39"/>
    <x v="0"/>
    <x v="23"/>
    <x v="139"/>
    <x v="36"/>
    <x v="46"/>
    <x v="164"/>
    <x v="155"/>
    <x v="7"/>
  </r>
  <r>
    <x v="1"/>
    <x v="40"/>
    <x v="0"/>
    <x v="35"/>
    <x v="34"/>
    <x v="22"/>
    <x v="143"/>
    <x v="165"/>
    <x v="156"/>
    <x v="10"/>
  </r>
  <r>
    <x v="1"/>
    <x v="40"/>
    <x v="1"/>
    <x v="26"/>
    <x v="151"/>
    <x v="38"/>
    <x v="144"/>
    <x v="166"/>
    <x v="157"/>
    <x v="16"/>
  </r>
  <r>
    <x v="1"/>
    <x v="41"/>
    <x v="0"/>
    <x v="112"/>
    <x v="152"/>
    <x v="19"/>
    <x v="145"/>
    <x v="167"/>
    <x v="158"/>
    <x v="16"/>
  </r>
  <r>
    <x v="1"/>
    <x v="41"/>
    <x v="1"/>
    <x v="35"/>
    <x v="48"/>
    <x v="25"/>
    <x v="146"/>
    <x v="168"/>
    <x v="159"/>
    <x v="14"/>
  </r>
  <r>
    <x v="1"/>
    <x v="42"/>
    <x v="0"/>
    <x v="85"/>
    <x v="153"/>
    <x v="28"/>
    <x v="147"/>
    <x v="169"/>
    <x v="159"/>
    <x v="16"/>
  </r>
  <r>
    <x v="1"/>
    <x v="42"/>
    <x v="1"/>
    <x v="115"/>
    <x v="154"/>
    <x v="26"/>
    <x v="104"/>
    <x v="170"/>
    <x v="160"/>
    <x v="23"/>
  </r>
  <r>
    <x v="1"/>
    <x v="43"/>
    <x v="0"/>
    <x v="111"/>
    <x v="155"/>
    <x v="35"/>
    <x v="148"/>
    <x v="171"/>
    <x v="157"/>
    <x v="15"/>
  </r>
  <r>
    <x v="1"/>
    <x v="43"/>
    <x v="1"/>
    <x v="85"/>
    <x v="156"/>
    <x v="23"/>
    <x v="137"/>
    <x v="172"/>
    <x v="161"/>
    <x v="14"/>
  </r>
  <r>
    <x v="1"/>
    <x v="106"/>
    <x v="0"/>
    <x v="99"/>
    <x v="157"/>
    <x v="40"/>
    <x v="149"/>
    <x v="173"/>
    <x v="162"/>
    <x v="18"/>
  </r>
  <r>
    <x v="1"/>
    <x v="44"/>
    <x v="0"/>
    <x v="116"/>
    <x v="51"/>
    <x v="26"/>
    <x v="108"/>
    <x v="174"/>
    <x v="163"/>
    <x v="15"/>
  </r>
  <r>
    <x v="1"/>
    <x v="44"/>
    <x v="1"/>
    <x v="112"/>
    <x v="158"/>
    <x v="28"/>
    <x v="150"/>
    <x v="175"/>
    <x v="164"/>
    <x v="23"/>
  </r>
  <r>
    <x v="1"/>
    <x v="45"/>
    <x v="0"/>
    <x v="112"/>
    <x v="159"/>
    <x v="24"/>
    <x v="151"/>
    <x v="176"/>
    <x v="154"/>
    <x v="14"/>
  </r>
  <r>
    <x v="1"/>
    <x v="45"/>
    <x v="1"/>
    <x v="117"/>
    <x v="160"/>
    <x v="28"/>
    <x v="152"/>
    <x v="177"/>
    <x v="165"/>
    <x v="16"/>
  </r>
  <r>
    <x v="1"/>
    <x v="46"/>
    <x v="0"/>
    <x v="118"/>
    <x v="161"/>
    <x v="40"/>
    <x v="153"/>
    <x v="178"/>
    <x v="166"/>
    <x v="23"/>
  </r>
  <r>
    <x v="1"/>
    <x v="46"/>
    <x v="1"/>
    <x v="119"/>
    <x v="162"/>
    <x v="38"/>
    <x v="154"/>
    <x v="179"/>
    <x v="167"/>
    <x v="17"/>
  </r>
  <r>
    <x v="1"/>
    <x v="47"/>
    <x v="0"/>
    <x v="113"/>
    <x v="163"/>
    <x v="26"/>
    <x v="155"/>
    <x v="180"/>
    <x v="154"/>
    <x v="18"/>
  </r>
  <r>
    <x v="1"/>
    <x v="47"/>
    <x v="1"/>
    <x v="119"/>
    <x v="39"/>
    <x v="35"/>
    <x v="156"/>
    <x v="181"/>
    <x v="168"/>
    <x v="14"/>
  </r>
  <r>
    <x v="1"/>
    <x v="48"/>
    <x v="0"/>
    <x v="99"/>
    <x v="164"/>
    <x v="28"/>
    <x v="157"/>
    <x v="182"/>
    <x v="169"/>
    <x v="16"/>
  </r>
  <r>
    <x v="1"/>
    <x v="48"/>
    <x v="1"/>
    <x v="120"/>
    <x v="165"/>
    <x v="28"/>
    <x v="158"/>
    <x v="183"/>
    <x v="170"/>
    <x v="23"/>
  </r>
  <r>
    <x v="1"/>
    <x v="107"/>
    <x v="0"/>
    <x v="42"/>
    <x v="166"/>
    <x v="35"/>
    <x v="159"/>
    <x v="184"/>
    <x v="171"/>
    <x v="28"/>
  </r>
  <r>
    <x v="1"/>
    <x v="49"/>
    <x v="0"/>
    <x v="26"/>
    <x v="167"/>
    <x v="19"/>
    <x v="24"/>
    <x v="185"/>
    <x v="59"/>
    <x v="26"/>
  </r>
  <r>
    <x v="1"/>
    <x v="49"/>
    <x v="1"/>
    <x v="121"/>
    <x v="168"/>
    <x v="23"/>
    <x v="160"/>
    <x v="186"/>
    <x v="172"/>
    <x v="29"/>
  </r>
  <r>
    <x v="1"/>
    <x v="50"/>
    <x v="0"/>
    <x v="115"/>
    <x v="169"/>
    <x v="27"/>
    <x v="161"/>
    <x v="187"/>
    <x v="173"/>
    <x v="24"/>
  </r>
  <r>
    <x v="1"/>
    <x v="50"/>
    <x v="1"/>
    <x v="122"/>
    <x v="170"/>
    <x v="26"/>
    <x v="162"/>
    <x v="188"/>
    <x v="174"/>
    <x v="29"/>
  </r>
  <r>
    <x v="1"/>
    <x v="108"/>
    <x v="0"/>
    <x v="99"/>
    <x v="171"/>
    <x v="26"/>
    <x v="118"/>
    <x v="189"/>
    <x v="175"/>
    <x v="29"/>
  </r>
  <r>
    <x v="1"/>
    <x v="108"/>
    <x v="1"/>
    <x v="120"/>
    <x v="172"/>
    <x v="22"/>
    <x v="163"/>
    <x v="190"/>
    <x v="161"/>
    <x v="18"/>
  </r>
  <r>
    <x v="1"/>
    <x v="51"/>
    <x v="0"/>
    <x v="116"/>
    <x v="161"/>
    <x v="29"/>
    <x v="9"/>
    <x v="191"/>
    <x v="176"/>
    <x v="24"/>
  </r>
  <r>
    <x v="1"/>
    <x v="51"/>
    <x v="1"/>
    <x v="113"/>
    <x v="173"/>
    <x v="22"/>
    <x v="164"/>
    <x v="192"/>
    <x v="177"/>
    <x v="26"/>
  </r>
  <r>
    <x v="1"/>
    <x v="52"/>
    <x v="0"/>
    <x v="123"/>
    <x v="174"/>
    <x v="28"/>
    <x v="165"/>
    <x v="193"/>
    <x v="178"/>
    <x v="30"/>
  </r>
  <r>
    <x v="1"/>
    <x v="52"/>
    <x v="1"/>
    <x v="99"/>
    <x v="175"/>
    <x v="29"/>
    <x v="166"/>
    <x v="194"/>
    <x v="157"/>
    <x v="24"/>
  </r>
  <r>
    <x v="1"/>
    <x v="53"/>
    <x v="0"/>
    <x v="124"/>
    <x v="176"/>
    <x v="35"/>
    <x v="51"/>
    <x v="195"/>
    <x v="179"/>
    <x v="25"/>
  </r>
  <r>
    <x v="1"/>
    <x v="53"/>
    <x v="1"/>
    <x v="116"/>
    <x v="177"/>
    <x v="15"/>
    <x v="167"/>
    <x v="196"/>
    <x v="168"/>
    <x v="18"/>
  </r>
  <r>
    <x v="1"/>
    <x v="54"/>
    <x v="0"/>
    <x v="125"/>
    <x v="178"/>
    <x v="28"/>
    <x v="168"/>
    <x v="197"/>
    <x v="180"/>
    <x v="14"/>
  </r>
  <r>
    <x v="1"/>
    <x v="54"/>
    <x v="1"/>
    <x v="85"/>
    <x v="179"/>
    <x v="15"/>
    <x v="169"/>
    <x v="198"/>
    <x v="181"/>
    <x v="11"/>
  </r>
  <r>
    <x v="1"/>
    <x v="55"/>
    <x v="0"/>
    <x v="111"/>
    <x v="180"/>
    <x v="19"/>
    <x v="170"/>
    <x v="199"/>
    <x v="182"/>
    <x v="13"/>
  </r>
  <r>
    <x v="1"/>
    <x v="55"/>
    <x v="1"/>
    <x v="124"/>
    <x v="181"/>
    <x v="19"/>
    <x v="109"/>
    <x v="200"/>
    <x v="183"/>
    <x v="13"/>
  </r>
  <r>
    <x v="1"/>
    <x v="56"/>
    <x v="0"/>
    <x v="85"/>
    <x v="182"/>
    <x v="25"/>
    <x v="171"/>
    <x v="201"/>
    <x v="184"/>
    <x v="14"/>
  </r>
  <r>
    <x v="1"/>
    <x v="56"/>
    <x v="1"/>
    <x v="116"/>
    <x v="183"/>
    <x v="27"/>
    <x v="172"/>
    <x v="202"/>
    <x v="185"/>
    <x v="14"/>
  </r>
  <r>
    <x v="1"/>
    <x v="57"/>
    <x v="0"/>
    <x v="125"/>
    <x v="184"/>
    <x v="28"/>
    <x v="171"/>
    <x v="203"/>
    <x v="180"/>
    <x v="18"/>
  </r>
  <r>
    <x v="1"/>
    <x v="57"/>
    <x v="1"/>
    <x v="116"/>
    <x v="185"/>
    <x v="27"/>
    <x v="173"/>
    <x v="204"/>
    <x v="167"/>
    <x v="15"/>
  </r>
  <r>
    <x v="1"/>
    <x v="58"/>
    <x v="0"/>
    <x v="85"/>
    <x v="186"/>
    <x v="19"/>
    <x v="173"/>
    <x v="205"/>
    <x v="186"/>
    <x v="14"/>
  </r>
  <r>
    <x v="1"/>
    <x v="58"/>
    <x v="1"/>
    <x v="112"/>
    <x v="187"/>
    <x v="21"/>
    <x v="174"/>
    <x v="206"/>
    <x v="178"/>
    <x v="13"/>
  </r>
  <r>
    <x v="1"/>
    <x v="59"/>
    <x v="0"/>
    <x v="124"/>
    <x v="188"/>
    <x v="35"/>
    <x v="66"/>
    <x v="207"/>
    <x v="187"/>
    <x v="14"/>
  </r>
  <r>
    <x v="1"/>
    <x v="59"/>
    <x v="1"/>
    <x v="112"/>
    <x v="189"/>
    <x v="15"/>
    <x v="103"/>
    <x v="208"/>
    <x v="188"/>
    <x v="13"/>
  </r>
  <r>
    <x v="1"/>
    <x v="60"/>
    <x v="0"/>
    <x v="115"/>
    <x v="51"/>
    <x v="22"/>
    <x v="175"/>
    <x v="209"/>
    <x v="189"/>
    <x v="13"/>
  </r>
  <r>
    <x v="1"/>
    <x v="60"/>
    <x v="1"/>
    <x v="126"/>
    <x v="190"/>
    <x v="0"/>
    <x v="176"/>
    <x v="210"/>
    <x v="190"/>
    <x v="2"/>
  </r>
  <r>
    <x v="1"/>
    <x v="61"/>
    <x v="0"/>
    <x v="116"/>
    <x v="191"/>
    <x v="27"/>
    <x v="177"/>
    <x v="211"/>
    <x v="191"/>
    <x v="15"/>
  </r>
  <r>
    <x v="1"/>
    <x v="61"/>
    <x v="1"/>
    <x v="116"/>
    <x v="39"/>
    <x v="30"/>
    <x v="178"/>
    <x v="212"/>
    <x v="164"/>
    <x v="12"/>
  </r>
  <r>
    <x v="1"/>
    <x v="62"/>
    <x v="0"/>
    <x v="125"/>
    <x v="192"/>
    <x v="19"/>
    <x v="179"/>
    <x v="213"/>
    <x v="168"/>
    <x v="23"/>
  </r>
  <r>
    <x v="1"/>
    <x v="62"/>
    <x v="1"/>
    <x v="85"/>
    <x v="193"/>
    <x v="36"/>
    <x v="180"/>
    <x v="214"/>
    <x v="164"/>
    <x v="14"/>
  </r>
  <r>
    <x v="1"/>
    <x v="109"/>
    <x v="0"/>
    <x v="26"/>
    <x v="183"/>
    <x v="24"/>
    <x v="181"/>
    <x v="215"/>
    <x v="160"/>
    <x v="14"/>
  </r>
  <r>
    <x v="1"/>
    <x v="109"/>
    <x v="1"/>
    <x v="115"/>
    <x v="194"/>
    <x v="36"/>
    <x v="89"/>
    <x v="216"/>
    <x v="160"/>
    <x v="17"/>
  </r>
  <r>
    <x v="1"/>
    <x v="110"/>
    <x v="0"/>
    <x v="112"/>
    <x v="195"/>
    <x v="16"/>
    <x v="182"/>
    <x v="217"/>
    <x v="192"/>
    <x v="11"/>
  </r>
  <r>
    <x v="1"/>
    <x v="111"/>
    <x v="0"/>
    <x v="116"/>
    <x v="196"/>
    <x v="18"/>
    <x v="183"/>
    <x v="218"/>
    <x v="193"/>
    <x v="7"/>
  </r>
  <r>
    <x v="1"/>
    <x v="63"/>
    <x v="0"/>
    <x v="36"/>
    <x v="65"/>
    <x v="5"/>
    <x v="184"/>
    <x v="219"/>
    <x v="194"/>
    <x v="6"/>
  </r>
  <r>
    <x v="1"/>
    <x v="64"/>
    <x v="0"/>
    <x v="32"/>
    <x v="197"/>
    <x v="11"/>
    <x v="185"/>
    <x v="220"/>
    <x v="195"/>
    <x v="11"/>
  </r>
  <r>
    <x v="1"/>
    <x v="64"/>
    <x v="1"/>
    <x v="39"/>
    <x v="198"/>
    <x v="14"/>
    <x v="186"/>
    <x v="221"/>
    <x v="55"/>
    <x v="16"/>
  </r>
  <r>
    <x v="1"/>
    <x v="65"/>
    <x v="0"/>
    <x v="85"/>
    <x v="72"/>
    <x v="16"/>
    <x v="187"/>
    <x v="222"/>
    <x v="46"/>
    <x v="15"/>
  </r>
  <r>
    <x v="1"/>
    <x v="66"/>
    <x v="0"/>
    <x v="116"/>
    <x v="83"/>
    <x v="30"/>
    <x v="188"/>
    <x v="223"/>
    <x v="196"/>
    <x v="14"/>
  </r>
  <r>
    <x v="1"/>
    <x v="66"/>
    <x v="1"/>
    <x v="112"/>
    <x v="195"/>
    <x v="30"/>
    <x v="189"/>
    <x v="224"/>
    <x v="197"/>
    <x v="23"/>
  </r>
  <r>
    <x v="1"/>
    <x v="67"/>
    <x v="0"/>
    <x v="112"/>
    <x v="152"/>
    <x v="29"/>
    <x v="159"/>
    <x v="225"/>
    <x v="173"/>
    <x v="23"/>
  </r>
  <r>
    <x v="1"/>
    <x v="67"/>
    <x v="1"/>
    <x v="35"/>
    <x v="199"/>
    <x v="15"/>
    <x v="190"/>
    <x v="226"/>
    <x v="163"/>
    <x v="23"/>
  </r>
  <r>
    <x v="1"/>
    <x v="68"/>
    <x v="0"/>
    <x v="112"/>
    <x v="200"/>
    <x v="22"/>
    <x v="66"/>
    <x v="227"/>
    <x v="45"/>
    <x v="19"/>
  </r>
  <r>
    <x v="1"/>
    <x v="68"/>
    <x v="1"/>
    <x v="123"/>
    <x v="60"/>
    <x v="21"/>
    <x v="191"/>
    <x v="228"/>
    <x v="180"/>
    <x v="23"/>
  </r>
  <r>
    <x v="1"/>
    <x v="69"/>
    <x v="0"/>
    <x v="35"/>
    <x v="83"/>
    <x v="36"/>
    <x v="2"/>
    <x v="229"/>
    <x v="49"/>
    <x v="22"/>
  </r>
  <r>
    <x v="1"/>
    <x v="69"/>
    <x v="1"/>
    <x v="39"/>
    <x v="201"/>
    <x v="15"/>
    <x v="65"/>
    <x v="230"/>
    <x v="54"/>
    <x v="23"/>
  </r>
  <r>
    <x v="1"/>
    <x v="70"/>
    <x v="0"/>
    <x v="116"/>
    <x v="202"/>
    <x v="30"/>
    <x v="37"/>
    <x v="231"/>
    <x v="46"/>
    <x v="17"/>
  </r>
  <r>
    <x v="1"/>
    <x v="70"/>
    <x v="1"/>
    <x v="111"/>
    <x v="203"/>
    <x v="15"/>
    <x v="192"/>
    <x v="232"/>
    <x v="51"/>
    <x v="20"/>
  </r>
  <r>
    <x v="1"/>
    <x v="71"/>
    <x v="0"/>
    <x v="115"/>
    <x v="83"/>
    <x v="36"/>
    <x v="193"/>
    <x v="233"/>
    <x v="60"/>
    <x v="31"/>
  </r>
  <r>
    <x v="1"/>
    <x v="71"/>
    <x v="1"/>
    <x v="127"/>
    <x v="204"/>
    <x v="2"/>
    <x v="194"/>
    <x v="234"/>
    <x v="198"/>
    <x v="7"/>
  </r>
  <r>
    <x v="1"/>
    <x v="112"/>
    <x v="0"/>
    <x v="35"/>
    <x v="205"/>
    <x v="21"/>
    <x v="195"/>
    <x v="235"/>
    <x v="55"/>
    <x v="18"/>
  </r>
  <r>
    <x v="1"/>
    <x v="112"/>
    <x v="1"/>
    <x v="111"/>
    <x v="139"/>
    <x v="30"/>
    <x v="188"/>
    <x v="236"/>
    <x v="199"/>
    <x v="17"/>
  </r>
  <r>
    <x v="1"/>
    <x v="113"/>
    <x v="0"/>
    <x v="115"/>
    <x v="206"/>
    <x v="15"/>
    <x v="141"/>
    <x v="237"/>
    <x v="200"/>
    <x v="18"/>
  </r>
  <r>
    <x v="1"/>
    <x v="113"/>
    <x v="1"/>
    <x v="23"/>
    <x v="34"/>
    <x v="18"/>
    <x v="0"/>
    <x v="238"/>
    <x v="45"/>
    <x v="32"/>
  </r>
  <r>
    <x v="1"/>
    <x v="114"/>
    <x v="0"/>
    <x v="85"/>
    <x v="47"/>
    <x v="22"/>
    <x v="65"/>
    <x v="239"/>
    <x v="45"/>
    <x v="17"/>
  </r>
  <r>
    <x v="1"/>
    <x v="114"/>
    <x v="1"/>
    <x v="111"/>
    <x v="207"/>
    <x v="36"/>
    <x v="89"/>
    <x v="240"/>
    <x v="175"/>
    <x v="22"/>
  </r>
  <r>
    <x v="1"/>
    <x v="72"/>
    <x v="0"/>
    <x v="35"/>
    <x v="208"/>
    <x v="14"/>
    <x v="196"/>
    <x v="241"/>
    <x v="201"/>
    <x v="18"/>
  </r>
  <r>
    <x v="1"/>
    <x v="72"/>
    <x v="1"/>
    <x v="118"/>
    <x v="209"/>
    <x v="27"/>
    <x v="197"/>
    <x v="242"/>
    <x v="202"/>
    <x v="19"/>
  </r>
  <r>
    <x v="1"/>
    <x v="74"/>
    <x v="0"/>
    <x v="26"/>
    <x v="210"/>
    <x v="19"/>
    <x v="66"/>
    <x v="243"/>
    <x v="59"/>
    <x v="19"/>
  </r>
  <r>
    <x v="1"/>
    <x v="74"/>
    <x v="1"/>
    <x v="85"/>
    <x v="136"/>
    <x v="37"/>
    <x v="198"/>
    <x v="244"/>
    <x v="60"/>
    <x v="17"/>
  </r>
  <r>
    <x v="1"/>
    <x v="75"/>
    <x v="0"/>
    <x v="99"/>
    <x v="211"/>
    <x v="30"/>
    <x v="199"/>
    <x v="245"/>
    <x v="203"/>
    <x v="16"/>
  </r>
  <r>
    <x v="1"/>
    <x v="75"/>
    <x v="1"/>
    <x v="85"/>
    <x v="202"/>
    <x v="37"/>
    <x v="200"/>
    <x v="246"/>
    <x v="47"/>
    <x v="15"/>
  </r>
  <r>
    <x v="1"/>
    <x v="76"/>
    <x v="0"/>
    <x v="39"/>
    <x v="38"/>
    <x v="30"/>
    <x v="201"/>
    <x v="247"/>
    <x v="204"/>
    <x v="17"/>
  </r>
  <r>
    <x v="1"/>
    <x v="76"/>
    <x v="1"/>
    <x v="112"/>
    <x v="56"/>
    <x v="14"/>
    <x v="202"/>
    <x v="248"/>
    <x v="62"/>
    <x v="13"/>
  </r>
  <r>
    <x v="1"/>
    <x v="77"/>
    <x v="0"/>
    <x v="116"/>
    <x v="66"/>
    <x v="17"/>
    <x v="203"/>
    <x v="249"/>
    <x v="205"/>
    <x v="13"/>
  </r>
  <r>
    <x v="1"/>
    <x v="77"/>
    <x v="1"/>
    <x v="26"/>
    <x v="212"/>
    <x v="36"/>
    <x v="9"/>
    <x v="250"/>
    <x v="54"/>
    <x v="18"/>
  </r>
  <r>
    <x v="1"/>
    <x v="78"/>
    <x v="0"/>
    <x v="112"/>
    <x v="66"/>
    <x v="14"/>
    <x v="204"/>
    <x v="251"/>
    <x v="78"/>
    <x v="23"/>
  </r>
  <r>
    <x v="1"/>
    <x v="78"/>
    <x v="1"/>
    <x v="39"/>
    <x v="83"/>
    <x v="14"/>
    <x v="105"/>
    <x v="252"/>
    <x v="206"/>
    <x v="17"/>
  </r>
  <r>
    <x v="1"/>
    <x v="79"/>
    <x v="0"/>
    <x v="125"/>
    <x v="213"/>
    <x v="15"/>
    <x v="205"/>
    <x v="253"/>
    <x v="207"/>
    <x v="16"/>
  </r>
  <r>
    <x v="1"/>
    <x v="79"/>
    <x v="1"/>
    <x v="26"/>
    <x v="214"/>
    <x v="14"/>
    <x v="206"/>
    <x v="254"/>
    <x v="206"/>
    <x v="20"/>
  </r>
  <r>
    <x v="1"/>
    <x v="80"/>
    <x v="0"/>
    <x v="123"/>
    <x v="215"/>
    <x v="37"/>
    <x v="207"/>
    <x v="255"/>
    <x v="208"/>
    <x v="13"/>
  </r>
  <r>
    <x v="1"/>
    <x v="80"/>
    <x v="1"/>
    <x v="128"/>
    <x v="216"/>
    <x v="15"/>
    <x v="208"/>
    <x v="256"/>
    <x v="43"/>
    <x v="19"/>
  </r>
  <r>
    <x v="1"/>
    <x v="115"/>
    <x v="0"/>
    <x v="99"/>
    <x v="217"/>
    <x v="22"/>
    <x v="209"/>
    <x v="257"/>
    <x v="209"/>
    <x v="17"/>
  </r>
  <r>
    <x v="1"/>
    <x v="115"/>
    <x v="1"/>
    <x v="115"/>
    <x v="218"/>
    <x v="15"/>
    <x v="210"/>
    <x v="258"/>
    <x v="197"/>
    <x v="14"/>
  </r>
  <r>
    <x v="1"/>
    <x v="81"/>
    <x v="0"/>
    <x v="123"/>
    <x v="198"/>
    <x v="36"/>
    <x v="84"/>
    <x v="259"/>
    <x v="210"/>
    <x v="26"/>
  </r>
  <r>
    <x v="1"/>
    <x v="81"/>
    <x v="1"/>
    <x v="39"/>
    <x v="56"/>
    <x v="22"/>
    <x v="3"/>
    <x v="260"/>
    <x v="175"/>
    <x v="24"/>
  </r>
  <r>
    <x v="1"/>
    <x v="82"/>
    <x v="0"/>
    <x v="85"/>
    <x v="219"/>
    <x v="27"/>
    <x v="141"/>
    <x v="261"/>
    <x v="62"/>
    <x v="24"/>
  </r>
  <r>
    <x v="1"/>
    <x v="82"/>
    <x v="1"/>
    <x v="121"/>
    <x v="220"/>
    <x v="25"/>
    <x v="211"/>
    <x v="262"/>
    <x v="211"/>
    <x v="26"/>
  </r>
  <r>
    <x v="1"/>
    <x v="116"/>
    <x v="0"/>
    <x v="111"/>
    <x v="221"/>
    <x v="27"/>
    <x v="74"/>
    <x v="263"/>
    <x v="46"/>
    <x v="33"/>
  </r>
  <r>
    <x v="1"/>
    <x v="116"/>
    <x v="1"/>
    <x v="39"/>
    <x v="52"/>
    <x v="36"/>
    <x v="212"/>
    <x v="264"/>
    <x v="155"/>
    <x v="33"/>
  </r>
  <r>
    <x v="1"/>
    <x v="83"/>
    <x v="0"/>
    <x v="35"/>
    <x v="222"/>
    <x v="29"/>
    <x v="86"/>
    <x v="265"/>
    <x v="212"/>
    <x v="29"/>
  </r>
  <r>
    <x v="1"/>
    <x v="83"/>
    <x v="1"/>
    <x v="116"/>
    <x v="223"/>
    <x v="22"/>
    <x v="213"/>
    <x v="266"/>
    <x v="197"/>
    <x v="33"/>
  </r>
  <r>
    <x v="1"/>
    <x v="84"/>
    <x v="0"/>
    <x v="85"/>
    <x v="224"/>
    <x v="19"/>
    <x v="214"/>
    <x v="267"/>
    <x v="47"/>
    <x v="30"/>
  </r>
  <r>
    <x v="1"/>
    <x v="84"/>
    <x v="1"/>
    <x v="23"/>
    <x v="202"/>
    <x v="29"/>
    <x v="215"/>
    <x v="268"/>
    <x v="87"/>
    <x v="33"/>
  </r>
  <r>
    <x v="1"/>
    <x v="85"/>
    <x v="0"/>
    <x v="116"/>
    <x v="225"/>
    <x v="15"/>
    <x v="213"/>
    <x v="269"/>
    <x v="213"/>
    <x v="32"/>
  </r>
  <r>
    <x v="1"/>
    <x v="85"/>
    <x v="1"/>
    <x v="123"/>
    <x v="226"/>
    <x v="25"/>
    <x v="216"/>
    <x v="270"/>
    <x v="178"/>
    <x v="31"/>
  </r>
  <r>
    <x v="1"/>
    <x v="86"/>
    <x v="0"/>
    <x v="35"/>
    <x v="187"/>
    <x v="27"/>
    <x v="76"/>
    <x v="271"/>
    <x v="47"/>
    <x v="30"/>
  </r>
  <r>
    <x v="1"/>
    <x v="86"/>
    <x v="1"/>
    <x v="116"/>
    <x v="227"/>
    <x v="25"/>
    <x v="217"/>
    <x v="272"/>
    <x v="214"/>
    <x v="34"/>
  </r>
  <r>
    <x v="1"/>
    <x v="117"/>
    <x v="0"/>
    <x v="23"/>
    <x v="228"/>
    <x v="19"/>
    <x v="76"/>
    <x v="273"/>
    <x v="155"/>
    <x v="30"/>
  </r>
  <r>
    <x v="1"/>
    <x v="117"/>
    <x v="1"/>
    <x v="35"/>
    <x v="160"/>
    <x v="27"/>
    <x v="218"/>
    <x v="274"/>
    <x v="169"/>
    <x v="34"/>
  </r>
  <r>
    <x v="1"/>
    <x v="87"/>
    <x v="0"/>
    <x v="39"/>
    <x v="229"/>
    <x v="35"/>
    <x v="82"/>
    <x v="275"/>
    <x v="50"/>
    <x v="34"/>
  </r>
  <r>
    <x v="1"/>
    <x v="87"/>
    <x v="1"/>
    <x v="116"/>
    <x v="230"/>
    <x v="29"/>
    <x v="219"/>
    <x v="276"/>
    <x v="176"/>
    <x v="29"/>
  </r>
  <r>
    <x v="1"/>
    <x v="88"/>
    <x v="0"/>
    <x v="36"/>
    <x v="231"/>
    <x v="15"/>
    <x v="11"/>
    <x v="277"/>
    <x v="48"/>
    <x v="26"/>
  </r>
  <r>
    <x v="1"/>
    <x v="89"/>
    <x v="0"/>
    <x v="129"/>
    <x v="232"/>
    <x v="26"/>
    <x v="220"/>
    <x v="278"/>
    <x v="182"/>
    <x v="35"/>
  </r>
  <r>
    <x v="1"/>
    <x v="89"/>
    <x v="1"/>
    <x v="121"/>
    <x v="233"/>
    <x v="38"/>
    <x v="80"/>
    <x v="279"/>
    <x v="168"/>
    <x v="36"/>
  </r>
  <r>
    <x v="1"/>
    <x v="118"/>
    <x v="0"/>
    <x v="23"/>
    <x v="136"/>
    <x v="37"/>
    <x v="95"/>
    <x v="280"/>
    <x v="50"/>
    <x v="26"/>
  </r>
  <r>
    <x v="1"/>
    <x v="118"/>
    <x v="1"/>
    <x v="125"/>
    <x v="234"/>
    <x v="27"/>
    <x v="218"/>
    <x v="281"/>
    <x v="199"/>
    <x v="30"/>
  </r>
  <r>
    <x v="1"/>
    <x v="90"/>
    <x v="0"/>
    <x v="29"/>
    <x v="235"/>
    <x v="17"/>
    <x v="90"/>
    <x v="282"/>
    <x v="215"/>
    <x v="19"/>
  </r>
  <r>
    <x v="1"/>
    <x v="90"/>
    <x v="1"/>
    <x v="31"/>
    <x v="73"/>
    <x v="18"/>
    <x v="96"/>
    <x v="283"/>
    <x v="216"/>
    <x v="26"/>
  </r>
  <r>
    <x v="1"/>
    <x v="91"/>
    <x v="0"/>
    <x v="29"/>
    <x v="236"/>
    <x v="18"/>
    <x v="221"/>
    <x v="284"/>
    <x v="217"/>
    <x v="21"/>
  </r>
  <r>
    <x v="1"/>
    <x v="91"/>
    <x v="1"/>
    <x v="31"/>
    <x v="56"/>
    <x v="9"/>
    <x v="222"/>
    <x v="285"/>
    <x v="218"/>
    <x v="23"/>
  </r>
  <r>
    <x v="1"/>
    <x v="119"/>
    <x v="0"/>
    <x v="29"/>
    <x v="237"/>
    <x v="13"/>
    <x v="223"/>
    <x v="286"/>
    <x v="219"/>
    <x v="22"/>
  </r>
  <r>
    <x v="1"/>
    <x v="119"/>
    <x v="1"/>
    <x v="14"/>
    <x v="190"/>
    <x v="20"/>
    <x v="224"/>
    <x v="287"/>
    <x v="220"/>
    <x v="20"/>
  </r>
  <r>
    <x v="1"/>
    <x v="93"/>
    <x v="0"/>
    <x v="130"/>
    <x v="238"/>
    <x v="11"/>
    <x v="224"/>
    <x v="288"/>
    <x v="221"/>
    <x v="19"/>
  </r>
  <r>
    <x v="1"/>
    <x v="93"/>
    <x v="1"/>
    <x v="131"/>
    <x v="239"/>
    <x v="10"/>
    <x v="225"/>
    <x v="289"/>
    <x v="222"/>
    <x v="19"/>
  </r>
  <r>
    <x v="1"/>
    <x v="94"/>
    <x v="0"/>
    <x v="35"/>
    <x v="240"/>
    <x v="17"/>
    <x v="226"/>
    <x v="290"/>
    <x v="223"/>
    <x v="22"/>
  </r>
  <r>
    <x v="1"/>
    <x v="94"/>
    <x v="1"/>
    <x v="14"/>
    <x v="241"/>
    <x v="20"/>
    <x v="227"/>
    <x v="291"/>
    <x v="224"/>
    <x v="20"/>
  </r>
  <r>
    <x v="1"/>
    <x v="120"/>
    <x v="0"/>
    <x v="14"/>
    <x v="242"/>
    <x v="20"/>
    <x v="223"/>
    <x v="292"/>
    <x v="225"/>
    <x v="18"/>
  </r>
  <r>
    <x v="1"/>
    <x v="120"/>
    <x v="1"/>
    <x v="14"/>
    <x v="243"/>
    <x v="10"/>
    <x v="223"/>
    <x v="293"/>
    <x v="226"/>
    <x v="20"/>
  </r>
  <r>
    <x v="1"/>
    <x v="95"/>
    <x v="0"/>
    <x v="132"/>
    <x v="244"/>
    <x v="10"/>
    <x v="227"/>
    <x v="294"/>
    <x v="227"/>
    <x v="17"/>
  </r>
  <r>
    <x v="1"/>
    <x v="95"/>
    <x v="1"/>
    <x v="23"/>
    <x v="245"/>
    <x v="9"/>
    <x v="228"/>
    <x v="295"/>
    <x v="228"/>
    <x v="23"/>
  </r>
  <r>
    <x v="1"/>
    <x v="96"/>
    <x v="0"/>
    <x v="14"/>
    <x v="246"/>
    <x v="16"/>
    <x v="97"/>
    <x v="296"/>
    <x v="229"/>
    <x v="19"/>
  </r>
  <r>
    <x v="1"/>
    <x v="96"/>
    <x v="1"/>
    <x v="31"/>
    <x v="247"/>
    <x v="13"/>
    <x v="228"/>
    <x v="297"/>
    <x v="230"/>
    <x v="20"/>
  </r>
  <r>
    <x v="1"/>
    <x v="97"/>
    <x v="0"/>
    <x v="36"/>
    <x v="248"/>
    <x v="12"/>
    <x v="229"/>
    <x v="298"/>
    <x v="231"/>
    <x v="3"/>
  </r>
  <r>
    <x v="1"/>
    <x v="98"/>
    <x v="0"/>
    <x v="31"/>
    <x v="249"/>
    <x v="13"/>
    <x v="230"/>
    <x v="299"/>
    <x v="232"/>
    <x v="21"/>
  </r>
  <r>
    <x v="1"/>
    <x v="98"/>
    <x v="1"/>
    <x v="29"/>
    <x v="250"/>
    <x v="10"/>
    <x v="227"/>
    <x v="300"/>
    <x v="233"/>
    <x v="20"/>
  </r>
  <r>
    <x v="1"/>
    <x v="121"/>
    <x v="0"/>
    <x v="39"/>
    <x v="251"/>
    <x v="20"/>
    <x v="3"/>
    <x v="301"/>
    <x v="234"/>
    <x v="16"/>
  </r>
  <r>
    <x v="1"/>
    <x v="122"/>
    <x v="0"/>
    <x v="39"/>
    <x v="66"/>
    <x v="17"/>
    <x v="231"/>
    <x v="302"/>
    <x v="146"/>
    <x v="15"/>
  </r>
  <r>
    <x v="1"/>
    <x v="122"/>
    <x v="1"/>
    <x v="14"/>
    <x v="252"/>
    <x v="5"/>
    <x v="95"/>
    <x v="303"/>
    <x v="235"/>
    <x v="13"/>
  </r>
  <r>
    <x v="1"/>
    <x v="123"/>
    <x v="0"/>
    <x v="112"/>
    <x v="242"/>
    <x v="30"/>
    <x v="0"/>
    <x v="304"/>
    <x v="236"/>
    <x v="18"/>
  </r>
  <r>
    <x v="1"/>
    <x v="123"/>
    <x v="1"/>
    <x v="29"/>
    <x v="253"/>
    <x v="13"/>
    <x v="91"/>
    <x v="305"/>
    <x v="237"/>
    <x v="23"/>
  </r>
  <r>
    <x v="1"/>
    <x v="124"/>
    <x v="0"/>
    <x v="31"/>
    <x v="254"/>
    <x v="14"/>
    <x v="90"/>
    <x v="306"/>
    <x v="238"/>
    <x v="19"/>
  </r>
  <r>
    <x v="1"/>
    <x v="124"/>
    <x v="1"/>
    <x v="29"/>
    <x v="255"/>
    <x v="5"/>
    <x v="94"/>
    <x v="307"/>
    <x v="239"/>
    <x v="11"/>
  </r>
  <r>
    <x v="1"/>
    <x v="99"/>
    <x v="0"/>
    <x v="32"/>
    <x v="256"/>
    <x v="18"/>
    <x v="227"/>
    <x v="308"/>
    <x v="240"/>
    <x v="19"/>
  </r>
  <r>
    <x v="1"/>
    <x v="99"/>
    <x v="1"/>
    <x v="31"/>
    <x v="257"/>
    <x v="18"/>
    <x v="223"/>
    <x v="309"/>
    <x v="241"/>
    <x v="21"/>
  </r>
  <r>
    <x v="1"/>
    <x v="100"/>
    <x v="0"/>
    <x v="133"/>
    <x v="258"/>
    <x v="41"/>
    <x v="232"/>
    <x v="310"/>
    <x v="242"/>
    <x v="1"/>
  </r>
  <r>
    <x v="1"/>
    <x v="101"/>
    <x v="0"/>
    <x v="35"/>
    <x v="64"/>
    <x v="15"/>
    <x v="233"/>
    <x v="311"/>
    <x v="243"/>
    <x v="22"/>
  </r>
  <r>
    <x v="1"/>
    <x v="101"/>
    <x v="1"/>
    <x v="32"/>
    <x v="127"/>
    <x v="37"/>
    <x v="234"/>
    <x v="312"/>
    <x v="244"/>
    <x v="24"/>
  </r>
  <r>
    <x v="1"/>
    <x v="102"/>
    <x v="0"/>
    <x v="32"/>
    <x v="259"/>
    <x v="15"/>
    <x v="227"/>
    <x v="313"/>
    <x v="245"/>
    <x v="21"/>
  </r>
  <r>
    <x v="1"/>
    <x v="102"/>
    <x v="1"/>
    <x v="32"/>
    <x v="225"/>
    <x v="14"/>
    <x v="235"/>
    <x v="314"/>
    <x v="246"/>
    <x v="24"/>
  </r>
  <r>
    <x v="2"/>
    <x v="125"/>
    <x v="0"/>
    <x v="134"/>
    <x v="260"/>
    <x v="29"/>
    <x v="236"/>
    <x v="315"/>
    <x v="247"/>
    <x v="27"/>
  </r>
  <r>
    <x v="2"/>
    <x v="34"/>
    <x v="0"/>
    <x v="135"/>
    <x v="261"/>
    <x v="17"/>
    <x v="116"/>
    <x v="316"/>
    <x v="248"/>
    <x v="6"/>
  </r>
  <r>
    <x v="2"/>
    <x v="36"/>
    <x v="0"/>
    <x v="136"/>
    <x v="262"/>
    <x v="29"/>
    <x v="237"/>
    <x v="317"/>
    <x v="249"/>
    <x v="27"/>
  </r>
  <r>
    <x v="2"/>
    <x v="37"/>
    <x v="0"/>
    <x v="137"/>
    <x v="263"/>
    <x v="35"/>
    <x v="238"/>
    <x v="318"/>
    <x v="250"/>
    <x v="11"/>
  </r>
  <r>
    <x v="2"/>
    <x v="126"/>
    <x v="0"/>
    <x v="138"/>
    <x v="264"/>
    <x v="14"/>
    <x v="239"/>
    <x v="319"/>
    <x v="251"/>
    <x v="12"/>
  </r>
  <r>
    <x v="2"/>
    <x v="39"/>
    <x v="0"/>
    <x v="139"/>
    <x v="265"/>
    <x v="10"/>
    <x v="240"/>
    <x v="320"/>
    <x v="252"/>
    <x v="27"/>
  </r>
  <r>
    <x v="2"/>
    <x v="40"/>
    <x v="0"/>
    <x v="140"/>
    <x v="266"/>
    <x v="20"/>
    <x v="241"/>
    <x v="321"/>
    <x v="253"/>
    <x v="27"/>
  </r>
  <r>
    <x v="2"/>
    <x v="41"/>
    <x v="0"/>
    <x v="141"/>
    <x v="267"/>
    <x v="17"/>
    <x v="242"/>
    <x v="322"/>
    <x v="254"/>
    <x v="10"/>
  </r>
  <r>
    <x v="2"/>
    <x v="43"/>
    <x v="0"/>
    <x v="142"/>
    <x v="268"/>
    <x v="14"/>
    <x v="243"/>
    <x v="323"/>
    <x v="255"/>
    <x v="10"/>
  </r>
  <r>
    <x v="2"/>
    <x v="106"/>
    <x v="0"/>
    <x v="143"/>
    <x v="269"/>
    <x v="37"/>
    <x v="126"/>
    <x v="324"/>
    <x v="256"/>
    <x v="12"/>
  </r>
  <r>
    <x v="2"/>
    <x v="127"/>
    <x v="0"/>
    <x v="144"/>
    <x v="270"/>
    <x v="7"/>
    <x v="244"/>
    <x v="325"/>
    <x v="257"/>
    <x v="5"/>
  </r>
  <r>
    <x v="2"/>
    <x v="127"/>
    <x v="1"/>
    <x v="145"/>
    <x v="271"/>
    <x v="21"/>
    <x v="245"/>
    <x v="101"/>
    <x v="258"/>
    <x v="15"/>
  </r>
  <r>
    <x v="2"/>
    <x v="44"/>
    <x v="0"/>
    <x v="146"/>
    <x v="272"/>
    <x v="17"/>
    <x v="246"/>
    <x v="326"/>
    <x v="259"/>
    <x v="6"/>
  </r>
  <r>
    <x v="2"/>
    <x v="45"/>
    <x v="0"/>
    <x v="147"/>
    <x v="273"/>
    <x v="13"/>
    <x v="247"/>
    <x v="327"/>
    <x v="260"/>
    <x v="27"/>
  </r>
  <r>
    <x v="2"/>
    <x v="46"/>
    <x v="0"/>
    <x v="148"/>
    <x v="274"/>
    <x v="14"/>
    <x v="159"/>
    <x v="328"/>
    <x v="261"/>
    <x v="27"/>
  </r>
  <r>
    <x v="2"/>
    <x v="48"/>
    <x v="0"/>
    <x v="149"/>
    <x v="275"/>
    <x v="13"/>
    <x v="168"/>
    <x v="329"/>
    <x v="262"/>
    <x v="8"/>
  </r>
  <r>
    <x v="2"/>
    <x v="107"/>
    <x v="0"/>
    <x v="150"/>
    <x v="276"/>
    <x v="17"/>
    <x v="248"/>
    <x v="330"/>
    <x v="263"/>
    <x v="16"/>
  </r>
  <r>
    <x v="2"/>
    <x v="128"/>
    <x v="0"/>
    <x v="151"/>
    <x v="277"/>
    <x v="13"/>
    <x v="249"/>
    <x v="331"/>
    <x v="264"/>
    <x v="13"/>
  </r>
  <r>
    <x v="2"/>
    <x v="128"/>
    <x v="1"/>
    <x v="152"/>
    <x v="278"/>
    <x v="37"/>
    <x v="100"/>
    <x v="332"/>
    <x v="265"/>
    <x v="16"/>
  </r>
  <r>
    <x v="2"/>
    <x v="49"/>
    <x v="0"/>
    <x v="153"/>
    <x v="279"/>
    <x v="18"/>
    <x v="214"/>
    <x v="333"/>
    <x v="266"/>
    <x v="15"/>
  </r>
  <r>
    <x v="2"/>
    <x v="49"/>
    <x v="1"/>
    <x v="154"/>
    <x v="280"/>
    <x v="17"/>
    <x v="88"/>
    <x v="334"/>
    <x v="119"/>
    <x v="16"/>
  </r>
  <r>
    <x v="2"/>
    <x v="50"/>
    <x v="0"/>
    <x v="155"/>
    <x v="281"/>
    <x v="30"/>
    <x v="250"/>
    <x v="335"/>
    <x v="267"/>
    <x v="14"/>
  </r>
  <r>
    <x v="2"/>
    <x v="50"/>
    <x v="1"/>
    <x v="156"/>
    <x v="282"/>
    <x v="17"/>
    <x v="251"/>
    <x v="336"/>
    <x v="268"/>
    <x v="16"/>
  </r>
  <r>
    <x v="2"/>
    <x v="108"/>
    <x v="0"/>
    <x v="157"/>
    <x v="283"/>
    <x v="13"/>
    <x v="252"/>
    <x v="337"/>
    <x v="269"/>
    <x v="13"/>
  </r>
  <r>
    <x v="2"/>
    <x v="108"/>
    <x v="1"/>
    <x v="158"/>
    <x v="284"/>
    <x v="13"/>
    <x v="253"/>
    <x v="338"/>
    <x v="270"/>
    <x v="15"/>
  </r>
  <r>
    <x v="2"/>
    <x v="52"/>
    <x v="0"/>
    <x v="159"/>
    <x v="285"/>
    <x v="17"/>
    <x v="250"/>
    <x v="339"/>
    <x v="271"/>
    <x v="16"/>
  </r>
  <r>
    <x v="2"/>
    <x v="53"/>
    <x v="0"/>
    <x v="160"/>
    <x v="286"/>
    <x v="9"/>
    <x v="75"/>
    <x v="340"/>
    <x v="272"/>
    <x v="10"/>
  </r>
  <r>
    <x v="2"/>
    <x v="53"/>
    <x v="1"/>
    <x v="161"/>
    <x v="287"/>
    <x v="17"/>
    <x v="254"/>
    <x v="341"/>
    <x v="273"/>
    <x v="16"/>
  </r>
  <r>
    <x v="2"/>
    <x v="129"/>
    <x v="0"/>
    <x v="162"/>
    <x v="288"/>
    <x v="17"/>
    <x v="74"/>
    <x v="342"/>
    <x v="274"/>
    <x v="13"/>
  </r>
  <r>
    <x v="2"/>
    <x v="129"/>
    <x v="1"/>
    <x v="163"/>
    <x v="289"/>
    <x v="29"/>
    <x v="196"/>
    <x v="343"/>
    <x v="275"/>
    <x v="23"/>
  </r>
  <r>
    <x v="2"/>
    <x v="54"/>
    <x v="0"/>
    <x v="164"/>
    <x v="290"/>
    <x v="13"/>
    <x v="255"/>
    <x v="344"/>
    <x v="276"/>
    <x v="8"/>
  </r>
  <r>
    <x v="2"/>
    <x v="54"/>
    <x v="1"/>
    <x v="165"/>
    <x v="291"/>
    <x v="37"/>
    <x v="256"/>
    <x v="345"/>
    <x v="277"/>
    <x v="27"/>
  </r>
  <r>
    <x v="2"/>
    <x v="55"/>
    <x v="0"/>
    <x v="166"/>
    <x v="292"/>
    <x v="37"/>
    <x v="179"/>
    <x v="346"/>
    <x v="278"/>
    <x v="6"/>
  </r>
  <r>
    <x v="2"/>
    <x v="55"/>
    <x v="1"/>
    <x v="167"/>
    <x v="293"/>
    <x v="30"/>
    <x v="257"/>
    <x v="347"/>
    <x v="279"/>
    <x v="10"/>
  </r>
  <r>
    <x v="2"/>
    <x v="56"/>
    <x v="0"/>
    <x v="168"/>
    <x v="294"/>
    <x v="11"/>
    <x v="69"/>
    <x v="348"/>
    <x v="280"/>
    <x v="7"/>
  </r>
  <r>
    <x v="2"/>
    <x v="58"/>
    <x v="0"/>
    <x v="169"/>
    <x v="295"/>
    <x v="18"/>
    <x v="258"/>
    <x v="349"/>
    <x v="281"/>
    <x v="8"/>
  </r>
  <r>
    <x v="2"/>
    <x v="58"/>
    <x v="1"/>
    <x v="170"/>
    <x v="296"/>
    <x v="18"/>
    <x v="259"/>
    <x v="350"/>
    <x v="282"/>
    <x v="10"/>
  </r>
  <r>
    <x v="2"/>
    <x v="59"/>
    <x v="0"/>
    <x v="171"/>
    <x v="297"/>
    <x v="14"/>
    <x v="37"/>
    <x v="351"/>
    <x v="283"/>
    <x v="6"/>
  </r>
  <r>
    <x v="2"/>
    <x v="59"/>
    <x v="1"/>
    <x v="172"/>
    <x v="298"/>
    <x v="14"/>
    <x v="260"/>
    <x v="352"/>
    <x v="284"/>
    <x v="7"/>
  </r>
  <r>
    <x v="2"/>
    <x v="130"/>
    <x v="0"/>
    <x v="173"/>
    <x v="299"/>
    <x v="18"/>
    <x v="261"/>
    <x v="353"/>
    <x v="285"/>
    <x v="27"/>
  </r>
  <r>
    <x v="2"/>
    <x v="130"/>
    <x v="1"/>
    <x v="174"/>
    <x v="300"/>
    <x v="37"/>
    <x v="262"/>
    <x v="354"/>
    <x v="286"/>
    <x v="7"/>
  </r>
  <r>
    <x v="2"/>
    <x v="60"/>
    <x v="0"/>
    <x v="175"/>
    <x v="301"/>
    <x v="14"/>
    <x v="211"/>
    <x v="355"/>
    <x v="287"/>
    <x v="6"/>
  </r>
  <r>
    <x v="2"/>
    <x v="60"/>
    <x v="1"/>
    <x v="176"/>
    <x v="302"/>
    <x v="13"/>
    <x v="105"/>
    <x v="356"/>
    <x v="288"/>
    <x v="27"/>
  </r>
  <r>
    <x v="2"/>
    <x v="61"/>
    <x v="0"/>
    <x v="177"/>
    <x v="303"/>
    <x v="5"/>
    <x v="194"/>
    <x v="357"/>
    <x v="289"/>
    <x v="5"/>
  </r>
  <r>
    <x v="2"/>
    <x v="61"/>
    <x v="1"/>
    <x v="178"/>
    <x v="304"/>
    <x v="13"/>
    <x v="263"/>
    <x v="358"/>
    <x v="290"/>
    <x v="7"/>
  </r>
  <r>
    <x v="2"/>
    <x v="62"/>
    <x v="0"/>
    <x v="29"/>
    <x v="305"/>
    <x v="13"/>
    <x v="103"/>
    <x v="359"/>
    <x v="291"/>
    <x v="5"/>
  </r>
  <r>
    <x v="2"/>
    <x v="62"/>
    <x v="1"/>
    <x v="179"/>
    <x v="306"/>
    <x v="13"/>
    <x v="264"/>
    <x v="360"/>
    <x v="292"/>
    <x v="27"/>
  </r>
  <r>
    <x v="2"/>
    <x v="110"/>
    <x v="0"/>
    <x v="180"/>
    <x v="307"/>
    <x v="20"/>
    <x v="265"/>
    <x v="361"/>
    <x v="293"/>
    <x v="8"/>
  </r>
  <r>
    <x v="2"/>
    <x v="111"/>
    <x v="0"/>
    <x v="181"/>
    <x v="308"/>
    <x v="42"/>
    <x v="178"/>
    <x v="362"/>
    <x v="294"/>
    <x v="1"/>
  </r>
  <r>
    <x v="2"/>
    <x v="131"/>
    <x v="0"/>
    <x v="182"/>
    <x v="309"/>
    <x v="6"/>
    <x v="205"/>
    <x v="363"/>
    <x v="295"/>
    <x v="5"/>
  </r>
  <r>
    <x v="2"/>
    <x v="132"/>
    <x v="0"/>
    <x v="183"/>
    <x v="310"/>
    <x v="31"/>
    <x v="266"/>
    <x v="364"/>
    <x v="296"/>
    <x v="27"/>
  </r>
  <r>
    <x v="2"/>
    <x v="133"/>
    <x v="0"/>
    <x v="184"/>
    <x v="311"/>
    <x v="20"/>
    <x v="267"/>
    <x v="365"/>
    <x v="130"/>
    <x v="6"/>
  </r>
  <r>
    <x v="2"/>
    <x v="64"/>
    <x v="0"/>
    <x v="185"/>
    <x v="312"/>
    <x v="18"/>
    <x v="211"/>
    <x v="366"/>
    <x v="297"/>
    <x v="10"/>
  </r>
  <r>
    <x v="2"/>
    <x v="65"/>
    <x v="0"/>
    <x v="186"/>
    <x v="313"/>
    <x v="16"/>
    <x v="56"/>
    <x v="367"/>
    <x v="298"/>
    <x v="6"/>
  </r>
  <r>
    <x v="2"/>
    <x v="65"/>
    <x v="1"/>
    <x v="187"/>
    <x v="314"/>
    <x v="29"/>
    <x v="268"/>
    <x v="368"/>
    <x v="299"/>
    <x v="12"/>
  </r>
  <r>
    <x v="2"/>
    <x v="66"/>
    <x v="0"/>
    <x v="29"/>
    <x v="315"/>
    <x v="29"/>
    <x v="146"/>
    <x v="369"/>
    <x v="300"/>
    <x v="7"/>
  </r>
  <r>
    <x v="2"/>
    <x v="66"/>
    <x v="1"/>
    <x v="188"/>
    <x v="316"/>
    <x v="18"/>
    <x v="100"/>
    <x v="370"/>
    <x v="301"/>
    <x v="13"/>
  </r>
  <r>
    <x v="2"/>
    <x v="67"/>
    <x v="0"/>
    <x v="189"/>
    <x v="317"/>
    <x v="30"/>
    <x v="69"/>
    <x v="371"/>
    <x v="302"/>
    <x v="12"/>
  </r>
  <r>
    <x v="2"/>
    <x v="67"/>
    <x v="1"/>
    <x v="190"/>
    <x v="318"/>
    <x v="16"/>
    <x v="176"/>
    <x v="372"/>
    <x v="303"/>
    <x v="12"/>
  </r>
  <r>
    <x v="2"/>
    <x v="68"/>
    <x v="0"/>
    <x v="191"/>
    <x v="319"/>
    <x v="30"/>
    <x v="208"/>
    <x v="373"/>
    <x v="304"/>
    <x v="13"/>
  </r>
  <r>
    <x v="2"/>
    <x v="68"/>
    <x v="1"/>
    <x v="192"/>
    <x v="320"/>
    <x v="33"/>
    <x v="269"/>
    <x v="374"/>
    <x v="305"/>
    <x v="10"/>
  </r>
  <r>
    <x v="2"/>
    <x v="70"/>
    <x v="0"/>
    <x v="36"/>
    <x v="321"/>
    <x v="18"/>
    <x v="241"/>
    <x v="375"/>
    <x v="306"/>
    <x v="7"/>
  </r>
  <r>
    <x v="2"/>
    <x v="70"/>
    <x v="1"/>
    <x v="85"/>
    <x v="322"/>
    <x v="21"/>
    <x v="270"/>
    <x v="376"/>
    <x v="307"/>
    <x v="20"/>
  </r>
  <r>
    <x v="2"/>
    <x v="71"/>
    <x v="0"/>
    <x v="193"/>
    <x v="323"/>
    <x v="18"/>
    <x v="74"/>
    <x v="377"/>
    <x v="308"/>
    <x v="21"/>
  </r>
  <r>
    <x v="2"/>
    <x v="71"/>
    <x v="1"/>
    <x v="194"/>
    <x v="324"/>
    <x v="14"/>
    <x v="83"/>
    <x v="378"/>
    <x v="309"/>
    <x v="26"/>
  </r>
  <r>
    <x v="2"/>
    <x v="134"/>
    <x v="0"/>
    <x v="195"/>
    <x v="325"/>
    <x v="16"/>
    <x v="271"/>
    <x v="379"/>
    <x v="310"/>
    <x v="10"/>
  </r>
  <r>
    <x v="2"/>
    <x v="112"/>
    <x v="0"/>
    <x v="196"/>
    <x v="326"/>
    <x v="14"/>
    <x v="76"/>
    <x v="380"/>
    <x v="311"/>
    <x v="13"/>
  </r>
  <r>
    <x v="2"/>
    <x v="112"/>
    <x v="1"/>
    <x v="197"/>
    <x v="327"/>
    <x v="18"/>
    <x v="75"/>
    <x v="381"/>
    <x v="312"/>
    <x v="11"/>
  </r>
  <r>
    <x v="2"/>
    <x v="113"/>
    <x v="0"/>
    <x v="198"/>
    <x v="328"/>
    <x v="30"/>
    <x v="272"/>
    <x v="382"/>
    <x v="313"/>
    <x v="15"/>
  </r>
  <r>
    <x v="2"/>
    <x v="113"/>
    <x v="1"/>
    <x v="85"/>
    <x v="329"/>
    <x v="15"/>
    <x v="273"/>
    <x v="383"/>
    <x v="314"/>
    <x v="23"/>
  </r>
  <r>
    <x v="2"/>
    <x v="73"/>
    <x v="0"/>
    <x v="199"/>
    <x v="330"/>
    <x v="30"/>
    <x v="69"/>
    <x v="384"/>
    <x v="315"/>
    <x v="11"/>
  </r>
  <r>
    <x v="2"/>
    <x v="73"/>
    <x v="1"/>
    <x v="29"/>
    <x v="331"/>
    <x v="21"/>
    <x v="273"/>
    <x v="385"/>
    <x v="316"/>
    <x v="17"/>
  </r>
  <r>
    <x v="2"/>
    <x v="74"/>
    <x v="0"/>
    <x v="200"/>
    <x v="332"/>
    <x v="30"/>
    <x v="270"/>
    <x v="386"/>
    <x v="317"/>
    <x v="11"/>
  </r>
  <r>
    <x v="2"/>
    <x v="74"/>
    <x v="1"/>
    <x v="31"/>
    <x v="333"/>
    <x v="15"/>
    <x v="79"/>
    <x v="387"/>
    <x v="318"/>
    <x v="17"/>
  </r>
  <r>
    <x v="2"/>
    <x v="135"/>
    <x v="0"/>
    <x v="201"/>
    <x v="334"/>
    <x v="14"/>
    <x v="212"/>
    <x v="388"/>
    <x v="319"/>
    <x v="15"/>
  </r>
  <r>
    <x v="2"/>
    <x v="135"/>
    <x v="1"/>
    <x v="202"/>
    <x v="335"/>
    <x v="30"/>
    <x v="274"/>
    <x v="389"/>
    <x v="320"/>
    <x v="16"/>
  </r>
  <r>
    <x v="2"/>
    <x v="75"/>
    <x v="0"/>
    <x v="14"/>
    <x v="336"/>
    <x v="30"/>
    <x v="216"/>
    <x v="390"/>
    <x v="321"/>
    <x v="13"/>
  </r>
  <r>
    <x v="2"/>
    <x v="75"/>
    <x v="1"/>
    <x v="36"/>
    <x v="337"/>
    <x v="30"/>
    <x v="275"/>
    <x v="391"/>
    <x v="322"/>
    <x v="13"/>
  </r>
  <r>
    <x v="2"/>
    <x v="76"/>
    <x v="0"/>
    <x v="203"/>
    <x v="338"/>
    <x v="18"/>
    <x v="276"/>
    <x v="392"/>
    <x v="323"/>
    <x v="12"/>
  </r>
  <r>
    <x v="2"/>
    <x v="76"/>
    <x v="1"/>
    <x v="204"/>
    <x v="339"/>
    <x v="21"/>
    <x v="277"/>
    <x v="393"/>
    <x v="324"/>
    <x v="23"/>
  </r>
  <r>
    <x v="2"/>
    <x v="77"/>
    <x v="0"/>
    <x v="205"/>
    <x v="340"/>
    <x v="29"/>
    <x v="75"/>
    <x v="394"/>
    <x v="325"/>
    <x v="13"/>
  </r>
  <r>
    <x v="2"/>
    <x v="77"/>
    <x v="1"/>
    <x v="31"/>
    <x v="341"/>
    <x v="19"/>
    <x v="249"/>
    <x v="395"/>
    <x v="326"/>
    <x v="14"/>
  </r>
  <r>
    <x v="2"/>
    <x v="79"/>
    <x v="0"/>
    <x v="14"/>
    <x v="342"/>
    <x v="37"/>
    <x v="278"/>
    <x v="396"/>
    <x v="327"/>
    <x v="11"/>
  </r>
  <r>
    <x v="2"/>
    <x v="79"/>
    <x v="1"/>
    <x v="206"/>
    <x v="343"/>
    <x v="15"/>
    <x v="70"/>
    <x v="397"/>
    <x v="328"/>
    <x v="17"/>
  </r>
  <r>
    <x v="2"/>
    <x v="80"/>
    <x v="0"/>
    <x v="207"/>
    <x v="344"/>
    <x v="14"/>
    <x v="279"/>
    <x v="398"/>
    <x v="329"/>
    <x v="7"/>
  </r>
  <r>
    <x v="2"/>
    <x v="80"/>
    <x v="1"/>
    <x v="14"/>
    <x v="345"/>
    <x v="29"/>
    <x v="4"/>
    <x v="399"/>
    <x v="330"/>
    <x v="15"/>
  </r>
  <r>
    <x v="2"/>
    <x v="136"/>
    <x v="0"/>
    <x v="208"/>
    <x v="346"/>
    <x v="16"/>
    <x v="250"/>
    <x v="400"/>
    <x v="331"/>
    <x v="10"/>
  </r>
  <r>
    <x v="2"/>
    <x v="136"/>
    <x v="1"/>
    <x v="116"/>
    <x v="347"/>
    <x v="30"/>
    <x v="279"/>
    <x v="401"/>
    <x v="332"/>
    <x v="23"/>
  </r>
  <r>
    <x v="2"/>
    <x v="115"/>
    <x v="0"/>
    <x v="209"/>
    <x v="348"/>
    <x v="30"/>
    <x v="74"/>
    <x v="402"/>
    <x v="333"/>
    <x v="11"/>
  </r>
  <r>
    <x v="2"/>
    <x v="115"/>
    <x v="1"/>
    <x v="31"/>
    <x v="349"/>
    <x v="15"/>
    <x v="213"/>
    <x v="403"/>
    <x v="334"/>
    <x v="16"/>
  </r>
  <r>
    <x v="2"/>
    <x v="81"/>
    <x v="0"/>
    <x v="210"/>
    <x v="350"/>
    <x v="37"/>
    <x v="94"/>
    <x v="404"/>
    <x v="275"/>
    <x v="13"/>
  </r>
  <r>
    <x v="2"/>
    <x v="81"/>
    <x v="1"/>
    <x v="211"/>
    <x v="351"/>
    <x v="37"/>
    <x v="91"/>
    <x v="405"/>
    <x v="335"/>
    <x v="14"/>
  </r>
  <r>
    <x v="2"/>
    <x v="82"/>
    <x v="0"/>
    <x v="212"/>
    <x v="352"/>
    <x v="29"/>
    <x v="99"/>
    <x v="406"/>
    <x v="336"/>
    <x v="15"/>
  </r>
  <r>
    <x v="2"/>
    <x v="82"/>
    <x v="1"/>
    <x v="213"/>
    <x v="353"/>
    <x v="16"/>
    <x v="91"/>
    <x v="407"/>
    <x v="337"/>
    <x v="11"/>
  </r>
  <r>
    <x v="2"/>
    <x v="83"/>
    <x v="0"/>
    <x v="214"/>
    <x v="354"/>
    <x v="14"/>
    <x v="225"/>
    <x v="408"/>
    <x v="338"/>
    <x v="21"/>
  </r>
  <r>
    <x v="2"/>
    <x v="83"/>
    <x v="1"/>
    <x v="215"/>
    <x v="355"/>
    <x v="18"/>
    <x v="224"/>
    <x v="409"/>
    <x v="339"/>
    <x v="21"/>
  </r>
  <r>
    <x v="2"/>
    <x v="84"/>
    <x v="0"/>
    <x v="216"/>
    <x v="356"/>
    <x v="17"/>
    <x v="280"/>
    <x v="410"/>
    <x v="340"/>
    <x v="18"/>
  </r>
  <r>
    <x v="2"/>
    <x v="84"/>
    <x v="1"/>
    <x v="217"/>
    <x v="357"/>
    <x v="18"/>
    <x v="281"/>
    <x v="411"/>
    <x v="341"/>
    <x v="24"/>
  </r>
  <r>
    <x v="2"/>
    <x v="137"/>
    <x v="0"/>
    <x v="218"/>
    <x v="358"/>
    <x v="17"/>
    <x v="282"/>
    <x v="412"/>
    <x v="342"/>
    <x v="19"/>
  </r>
  <r>
    <x v="2"/>
    <x v="137"/>
    <x v="1"/>
    <x v="219"/>
    <x v="359"/>
    <x v="14"/>
    <x v="233"/>
    <x v="413"/>
    <x v="343"/>
    <x v="21"/>
  </r>
  <r>
    <x v="2"/>
    <x v="85"/>
    <x v="0"/>
    <x v="220"/>
    <x v="360"/>
    <x v="16"/>
    <x v="283"/>
    <x v="414"/>
    <x v="344"/>
    <x v="17"/>
  </r>
  <r>
    <x v="2"/>
    <x v="85"/>
    <x v="1"/>
    <x v="221"/>
    <x v="361"/>
    <x v="16"/>
    <x v="284"/>
    <x v="415"/>
    <x v="345"/>
    <x v="20"/>
  </r>
  <r>
    <x v="2"/>
    <x v="86"/>
    <x v="0"/>
    <x v="222"/>
    <x v="362"/>
    <x v="14"/>
    <x v="93"/>
    <x v="416"/>
    <x v="346"/>
    <x v="18"/>
  </r>
  <r>
    <x v="2"/>
    <x v="86"/>
    <x v="1"/>
    <x v="40"/>
    <x v="363"/>
    <x v="17"/>
    <x v="97"/>
    <x v="417"/>
    <x v="347"/>
    <x v="19"/>
  </r>
  <r>
    <x v="2"/>
    <x v="117"/>
    <x v="0"/>
    <x v="223"/>
    <x v="364"/>
    <x v="18"/>
    <x v="285"/>
    <x v="418"/>
    <x v="348"/>
    <x v="20"/>
  </r>
  <r>
    <x v="2"/>
    <x v="117"/>
    <x v="1"/>
    <x v="224"/>
    <x v="365"/>
    <x v="13"/>
    <x v="228"/>
    <x v="419"/>
    <x v="349"/>
    <x v="20"/>
  </r>
  <r>
    <x v="2"/>
    <x v="88"/>
    <x v="0"/>
    <x v="225"/>
    <x v="366"/>
    <x v="10"/>
    <x v="227"/>
    <x v="420"/>
    <x v="350"/>
    <x v="17"/>
  </r>
  <r>
    <x v="2"/>
    <x v="88"/>
    <x v="1"/>
    <x v="226"/>
    <x v="367"/>
    <x v="18"/>
    <x v="224"/>
    <x v="421"/>
    <x v="351"/>
    <x v="24"/>
  </r>
  <r>
    <x v="2"/>
    <x v="89"/>
    <x v="0"/>
    <x v="227"/>
    <x v="368"/>
    <x v="11"/>
    <x v="286"/>
    <x v="422"/>
    <x v="352"/>
    <x v="23"/>
  </r>
  <r>
    <x v="2"/>
    <x v="89"/>
    <x v="1"/>
    <x v="228"/>
    <x v="369"/>
    <x v="16"/>
    <x v="227"/>
    <x v="423"/>
    <x v="353"/>
    <x v="22"/>
  </r>
  <r>
    <x v="2"/>
    <x v="118"/>
    <x v="0"/>
    <x v="229"/>
    <x v="370"/>
    <x v="14"/>
    <x v="287"/>
    <x v="424"/>
    <x v="354"/>
    <x v="18"/>
  </r>
  <r>
    <x v="2"/>
    <x v="118"/>
    <x v="1"/>
    <x v="230"/>
    <x v="371"/>
    <x v="11"/>
    <x v="288"/>
    <x v="425"/>
    <x v="355"/>
    <x v="19"/>
  </r>
  <r>
    <x v="2"/>
    <x v="90"/>
    <x v="0"/>
    <x v="231"/>
    <x v="372"/>
    <x v="14"/>
    <x v="281"/>
    <x v="426"/>
    <x v="356"/>
    <x v="23"/>
  </r>
  <r>
    <x v="2"/>
    <x v="90"/>
    <x v="1"/>
    <x v="232"/>
    <x v="373"/>
    <x v="14"/>
    <x v="283"/>
    <x v="427"/>
    <x v="357"/>
    <x v="21"/>
  </r>
  <r>
    <x v="2"/>
    <x v="91"/>
    <x v="0"/>
    <x v="233"/>
    <x v="374"/>
    <x v="18"/>
    <x v="289"/>
    <x v="428"/>
    <x v="358"/>
    <x v="19"/>
  </r>
  <r>
    <x v="2"/>
    <x v="91"/>
    <x v="1"/>
    <x v="234"/>
    <x v="375"/>
    <x v="14"/>
    <x v="290"/>
    <x v="429"/>
    <x v="359"/>
    <x v="26"/>
  </r>
  <r>
    <x v="2"/>
    <x v="91"/>
    <x v="2"/>
    <x v="235"/>
    <x v="376"/>
    <x v="43"/>
    <x v="212"/>
    <x v="430"/>
    <x v="360"/>
    <x v="4"/>
  </r>
  <r>
    <x v="2"/>
    <x v="92"/>
    <x v="0"/>
    <x v="236"/>
    <x v="377"/>
    <x v="13"/>
    <x v="291"/>
    <x v="431"/>
    <x v="361"/>
    <x v="14"/>
  </r>
  <r>
    <x v="2"/>
    <x v="92"/>
    <x v="1"/>
    <x v="237"/>
    <x v="378"/>
    <x v="17"/>
    <x v="230"/>
    <x v="432"/>
    <x v="362"/>
    <x v="11"/>
  </r>
  <r>
    <x v="2"/>
    <x v="93"/>
    <x v="0"/>
    <x v="238"/>
    <x v="379"/>
    <x v="16"/>
    <x v="292"/>
    <x v="433"/>
    <x v="363"/>
    <x v="6"/>
  </r>
  <r>
    <x v="2"/>
    <x v="93"/>
    <x v="1"/>
    <x v="29"/>
    <x v="380"/>
    <x v="37"/>
    <x v="212"/>
    <x v="434"/>
    <x v="364"/>
    <x v="16"/>
  </r>
  <r>
    <x v="2"/>
    <x v="94"/>
    <x v="0"/>
    <x v="14"/>
    <x v="381"/>
    <x v="16"/>
    <x v="293"/>
    <x v="435"/>
    <x v="365"/>
    <x v="10"/>
  </r>
  <r>
    <x v="2"/>
    <x v="94"/>
    <x v="1"/>
    <x v="39"/>
    <x v="34"/>
    <x v="19"/>
    <x v="294"/>
    <x v="436"/>
    <x v="366"/>
    <x v="19"/>
  </r>
  <r>
    <x v="2"/>
    <x v="120"/>
    <x v="0"/>
    <x v="14"/>
    <x v="382"/>
    <x v="30"/>
    <x v="0"/>
    <x v="437"/>
    <x v="367"/>
    <x v="15"/>
  </r>
  <r>
    <x v="2"/>
    <x v="120"/>
    <x v="1"/>
    <x v="14"/>
    <x v="383"/>
    <x v="15"/>
    <x v="295"/>
    <x v="438"/>
    <x v="368"/>
    <x v="23"/>
  </r>
  <r>
    <x v="2"/>
    <x v="95"/>
    <x v="0"/>
    <x v="123"/>
    <x v="384"/>
    <x v="15"/>
    <x v="296"/>
    <x v="439"/>
    <x v="369"/>
    <x v="18"/>
  </r>
  <r>
    <x v="2"/>
    <x v="95"/>
    <x v="1"/>
    <x v="239"/>
    <x v="385"/>
    <x v="14"/>
    <x v="281"/>
    <x v="440"/>
    <x v="370"/>
    <x v="21"/>
  </r>
  <r>
    <x v="2"/>
    <x v="96"/>
    <x v="0"/>
    <x v="240"/>
    <x v="386"/>
    <x v="30"/>
    <x v="284"/>
    <x v="441"/>
    <x v="371"/>
    <x v="18"/>
  </r>
  <r>
    <x v="2"/>
    <x v="96"/>
    <x v="1"/>
    <x v="241"/>
    <x v="387"/>
    <x v="37"/>
    <x v="297"/>
    <x v="442"/>
    <x v="372"/>
    <x v="21"/>
  </r>
  <r>
    <x v="2"/>
    <x v="97"/>
    <x v="0"/>
    <x v="14"/>
    <x v="388"/>
    <x v="22"/>
    <x v="282"/>
    <x v="443"/>
    <x v="373"/>
    <x v="22"/>
  </r>
  <r>
    <x v="2"/>
    <x v="97"/>
    <x v="1"/>
    <x v="35"/>
    <x v="34"/>
    <x v="28"/>
    <x v="298"/>
    <x v="444"/>
    <x v="374"/>
    <x v="22"/>
  </r>
  <r>
    <x v="2"/>
    <x v="97"/>
    <x v="2"/>
    <x v="242"/>
    <x v="389"/>
    <x v="41"/>
    <x v="299"/>
    <x v="445"/>
    <x v="375"/>
    <x v="0"/>
  </r>
  <r>
    <x v="2"/>
    <x v="121"/>
    <x v="0"/>
    <x v="243"/>
    <x v="390"/>
    <x v="16"/>
    <x v="91"/>
    <x v="446"/>
    <x v="376"/>
    <x v="15"/>
  </r>
  <r>
    <x v="2"/>
    <x v="121"/>
    <x v="1"/>
    <x v="244"/>
    <x v="391"/>
    <x v="14"/>
    <x v="97"/>
    <x v="447"/>
    <x v="377"/>
    <x v="20"/>
  </r>
  <r>
    <x v="2"/>
    <x v="122"/>
    <x v="0"/>
    <x v="245"/>
    <x v="392"/>
    <x v="18"/>
    <x v="96"/>
    <x v="448"/>
    <x v="378"/>
    <x v="15"/>
  </r>
  <r>
    <x v="2"/>
    <x v="122"/>
    <x v="1"/>
    <x v="246"/>
    <x v="393"/>
    <x v="16"/>
    <x v="294"/>
    <x v="449"/>
    <x v="379"/>
    <x v="16"/>
  </r>
  <r>
    <x v="2"/>
    <x v="123"/>
    <x v="0"/>
    <x v="14"/>
    <x v="394"/>
    <x v="30"/>
    <x v="300"/>
    <x v="450"/>
    <x v="380"/>
    <x v="14"/>
  </r>
  <r>
    <x v="2"/>
    <x v="123"/>
    <x v="1"/>
    <x v="14"/>
    <x v="395"/>
    <x v="36"/>
    <x v="280"/>
    <x v="451"/>
    <x v="381"/>
    <x v="19"/>
  </r>
  <r>
    <x v="2"/>
    <x v="124"/>
    <x v="0"/>
    <x v="247"/>
    <x v="396"/>
    <x v="14"/>
    <x v="285"/>
    <x v="452"/>
    <x v="382"/>
    <x v="15"/>
  </r>
  <r>
    <x v="2"/>
    <x v="124"/>
    <x v="1"/>
    <x v="14"/>
    <x v="78"/>
    <x v="19"/>
    <x v="229"/>
    <x v="453"/>
    <x v="383"/>
    <x v="22"/>
  </r>
  <r>
    <x v="2"/>
    <x v="99"/>
    <x v="0"/>
    <x v="248"/>
    <x v="397"/>
    <x v="21"/>
    <x v="223"/>
    <x v="454"/>
    <x v="384"/>
    <x v="23"/>
  </r>
  <r>
    <x v="2"/>
    <x v="99"/>
    <x v="1"/>
    <x v="32"/>
    <x v="398"/>
    <x v="28"/>
    <x v="94"/>
    <x v="455"/>
    <x v="385"/>
    <x v="21"/>
  </r>
  <r>
    <x v="2"/>
    <x v="100"/>
    <x v="0"/>
    <x v="205"/>
    <x v="399"/>
    <x v="36"/>
    <x v="227"/>
    <x v="456"/>
    <x v="386"/>
    <x v="22"/>
  </r>
  <r>
    <x v="2"/>
    <x v="100"/>
    <x v="1"/>
    <x v="23"/>
    <x v="400"/>
    <x v="35"/>
    <x v="230"/>
    <x v="457"/>
    <x v="387"/>
    <x v="26"/>
  </r>
  <r>
    <x v="2"/>
    <x v="100"/>
    <x v="2"/>
    <x v="249"/>
    <x v="401"/>
    <x v="44"/>
    <x v="284"/>
    <x v="458"/>
    <x v="388"/>
    <x v="0"/>
  </r>
  <r>
    <x v="2"/>
    <x v="102"/>
    <x v="0"/>
    <x v="250"/>
    <x v="402"/>
    <x v="15"/>
    <x v="288"/>
    <x v="459"/>
    <x v="389"/>
    <x v="18"/>
  </r>
  <r>
    <x v="2"/>
    <x v="102"/>
    <x v="1"/>
    <x v="14"/>
    <x v="403"/>
    <x v="21"/>
    <x v="283"/>
    <x v="460"/>
    <x v="390"/>
    <x v="26"/>
  </r>
  <r>
    <x v="3"/>
    <x v="135"/>
    <x v="0"/>
    <x v="122"/>
    <x v="241"/>
    <x v="28"/>
    <x v="301"/>
    <x v="461"/>
    <x v="391"/>
    <x v="18"/>
  </r>
  <r>
    <x v="3"/>
    <x v="75"/>
    <x v="0"/>
    <x v="31"/>
    <x v="404"/>
    <x v="9"/>
    <x v="302"/>
    <x v="462"/>
    <x v="392"/>
    <x v="13"/>
  </r>
  <r>
    <x v="3"/>
    <x v="76"/>
    <x v="0"/>
    <x v="39"/>
    <x v="405"/>
    <x v="10"/>
    <x v="303"/>
    <x v="463"/>
    <x v="393"/>
    <x v="15"/>
  </r>
  <r>
    <x v="3"/>
    <x v="77"/>
    <x v="0"/>
    <x v="36"/>
    <x v="406"/>
    <x v="10"/>
    <x v="52"/>
    <x v="464"/>
    <x v="394"/>
    <x v="16"/>
  </r>
  <r>
    <x v="3"/>
    <x v="78"/>
    <x v="0"/>
    <x v="36"/>
    <x v="407"/>
    <x v="9"/>
    <x v="304"/>
    <x v="465"/>
    <x v="395"/>
    <x v="11"/>
  </r>
  <r>
    <x v="3"/>
    <x v="79"/>
    <x v="0"/>
    <x v="36"/>
    <x v="408"/>
    <x v="20"/>
    <x v="197"/>
    <x v="466"/>
    <x v="18"/>
    <x v="13"/>
  </r>
  <r>
    <x v="3"/>
    <x v="80"/>
    <x v="0"/>
    <x v="36"/>
    <x v="409"/>
    <x v="10"/>
    <x v="305"/>
    <x v="467"/>
    <x v="319"/>
    <x v="15"/>
  </r>
  <r>
    <x v="3"/>
    <x v="136"/>
    <x v="0"/>
    <x v="116"/>
    <x v="74"/>
    <x v="30"/>
    <x v="306"/>
    <x v="468"/>
    <x v="396"/>
    <x v="17"/>
  </r>
  <r>
    <x v="3"/>
    <x v="115"/>
    <x v="0"/>
    <x v="14"/>
    <x v="410"/>
    <x v="17"/>
    <x v="299"/>
    <x v="469"/>
    <x v="397"/>
    <x v="17"/>
  </r>
  <r>
    <x v="3"/>
    <x v="81"/>
    <x v="0"/>
    <x v="14"/>
    <x v="411"/>
    <x v="11"/>
    <x v="230"/>
    <x v="470"/>
    <x v="398"/>
    <x v="21"/>
  </r>
  <r>
    <x v="3"/>
    <x v="116"/>
    <x v="0"/>
    <x v="251"/>
    <x v="412"/>
    <x v="10"/>
    <x v="91"/>
    <x v="471"/>
    <x v="399"/>
    <x v="20"/>
  </r>
  <r>
    <x v="3"/>
    <x v="83"/>
    <x v="0"/>
    <x v="252"/>
    <x v="413"/>
    <x v="11"/>
    <x v="307"/>
    <x v="472"/>
    <x v="400"/>
    <x v="22"/>
  </r>
  <r>
    <x v="3"/>
    <x v="84"/>
    <x v="0"/>
    <x v="14"/>
    <x v="414"/>
    <x v="9"/>
    <x v="82"/>
    <x v="473"/>
    <x v="401"/>
    <x v="14"/>
  </r>
  <r>
    <x v="3"/>
    <x v="137"/>
    <x v="0"/>
    <x v="253"/>
    <x v="415"/>
    <x v="10"/>
    <x v="308"/>
    <x v="474"/>
    <x v="402"/>
    <x v="18"/>
  </r>
  <r>
    <x v="3"/>
    <x v="85"/>
    <x v="0"/>
    <x v="254"/>
    <x v="416"/>
    <x v="11"/>
    <x v="81"/>
    <x v="475"/>
    <x v="403"/>
    <x v="20"/>
  </r>
  <r>
    <x v="3"/>
    <x v="86"/>
    <x v="0"/>
    <x v="29"/>
    <x v="417"/>
    <x v="13"/>
    <x v="293"/>
    <x v="476"/>
    <x v="404"/>
    <x v="18"/>
  </r>
  <r>
    <x v="3"/>
    <x v="87"/>
    <x v="0"/>
    <x v="255"/>
    <x v="418"/>
    <x v="31"/>
    <x v="309"/>
    <x v="477"/>
    <x v="405"/>
    <x v="16"/>
  </r>
  <r>
    <x v="3"/>
    <x v="88"/>
    <x v="0"/>
    <x v="29"/>
    <x v="419"/>
    <x v="33"/>
    <x v="300"/>
    <x v="478"/>
    <x v="406"/>
    <x v="16"/>
  </r>
  <r>
    <x v="3"/>
    <x v="89"/>
    <x v="0"/>
    <x v="29"/>
    <x v="420"/>
    <x v="34"/>
    <x v="234"/>
    <x v="479"/>
    <x v="407"/>
    <x v="13"/>
  </r>
  <r>
    <x v="3"/>
    <x v="118"/>
    <x v="0"/>
    <x v="29"/>
    <x v="421"/>
    <x v="5"/>
    <x v="310"/>
    <x v="480"/>
    <x v="408"/>
    <x v="23"/>
  </r>
  <r>
    <x v="3"/>
    <x v="90"/>
    <x v="0"/>
    <x v="256"/>
    <x v="422"/>
    <x v="31"/>
    <x v="280"/>
    <x v="481"/>
    <x v="409"/>
    <x v="16"/>
  </r>
  <r>
    <x v="3"/>
    <x v="91"/>
    <x v="0"/>
    <x v="257"/>
    <x v="423"/>
    <x v="45"/>
    <x v="95"/>
    <x v="482"/>
    <x v="410"/>
    <x v="0"/>
  </r>
  <r>
    <x v="3"/>
    <x v="119"/>
    <x v="0"/>
    <x v="258"/>
    <x v="424"/>
    <x v="31"/>
    <x v="289"/>
    <x v="483"/>
    <x v="411"/>
    <x v="14"/>
  </r>
  <r>
    <x v="3"/>
    <x v="93"/>
    <x v="0"/>
    <x v="14"/>
    <x v="425"/>
    <x v="34"/>
    <x v="311"/>
    <x v="484"/>
    <x v="412"/>
    <x v="13"/>
  </r>
  <r>
    <x v="3"/>
    <x v="94"/>
    <x v="0"/>
    <x v="36"/>
    <x v="426"/>
    <x v="20"/>
    <x v="11"/>
    <x v="485"/>
    <x v="413"/>
    <x v="23"/>
  </r>
  <r>
    <x v="3"/>
    <x v="120"/>
    <x v="0"/>
    <x v="259"/>
    <x v="427"/>
    <x v="34"/>
    <x v="235"/>
    <x v="486"/>
    <x v="414"/>
    <x v="13"/>
  </r>
  <r>
    <x v="3"/>
    <x v="95"/>
    <x v="0"/>
    <x v="260"/>
    <x v="428"/>
    <x v="33"/>
    <x v="295"/>
    <x v="487"/>
    <x v="415"/>
    <x v="15"/>
  </r>
  <r>
    <x v="3"/>
    <x v="96"/>
    <x v="0"/>
    <x v="29"/>
    <x v="429"/>
    <x v="8"/>
    <x v="300"/>
    <x v="488"/>
    <x v="416"/>
    <x v="15"/>
  </r>
  <r>
    <x v="3"/>
    <x v="98"/>
    <x v="0"/>
    <x v="261"/>
    <x v="430"/>
    <x v="33"/>
    <x v="226"/>
    <x v="489"/>
    <x v="417"/>
    <x v="16"/>
  </r>
  <r>
    <x v="3"/>
    <x v="121"/>
    <x v="0"/>
    <x v="36"/>
    <x v="431"/>
    <x v="20"/>
    <x v="263"/>
    <x v="490"/>
    <x v="418"/>
    <x v="13"/>
  </r>
  <r>
    <x v="3"/>
    <x v="122"/>
    <x v="0"/>
    <x v="31"/>
    <x v="432"/>
    <x v="13"/>
    <x v="83"/>
    <x v="491"/>
    <x v="419"/>
    <x v="16"/>
  </r>
  <r>
    <x v="3"/>
    <x v="123"/>
    <x v="0"/>
    <x v="14"/>
    <x v="433"/>
    <x v="33"/>
    <x v="229"/>
    <x v="492"/>
    <x v="405"/>
    <x v="12"/>
  </r>
  <r>
    <x v="3"/>
    <x v="124"/>
    <x v="0"/>
    <x v="262"/>
    <x v="434"/>
    <x v="31"/>
    <x v="90"/>
    <x v="493"/>
    <x v="420"/>
    <x v="11"/>
  </r>
  <r>
    <x v="3"/>
    <x v="99"/>
    <x v="0"/>
    <x v="263"/>
    <x v="435"/>
    <x v="34"/>
    <x v="290"/>
    <x v="494"/>
    <x v="421"/>
    <x v="13"/>
  </r>
  <r>
    <x v="3"/>
    <x v="101"/>
    <x v="0"/>
    <x v="264"/>
    <x v="436"/>
    <x v="6"/>
    <x v="312"/>
    <x v="495"/>
    <x v="422"/>
    <x v="13"/>
  </r>
  <r>
    <x v="3"/>
    <x v="102"/>
    <x v="0"/>
    <x v="14"/>
    <x v="437"/>
    <x v="34"/>
    <x v="313"/>
    <x v="496"/>
    <x v="423"/>
    <x v="15"/>
  </r>
  <r>
    <x v="4"/>
    <x v="116"/>
    <x v="0"/>
    <x v="265"/>
    <x v="438"/>
    <x v="37"/>
    <x v="314"/>
    <x v="497"/>
    <x v="424"/>
    <x v="10"/>
  </r>
  <r>
    <x v="4"/>
    <x v="83"/>
    <x v="0"/>
    <x v="266"/>
    <x v="439"/>
    <x v="37"/>
    <x v="315"/>
    <x v="498"/>
    <x v="425"/>
    <x v="17"/>
  </r>
  <r>
    <x v="4"/>
    <x v="84"/>
    <x v="0"/>
    <x v="267"/>
    <x v="440"/>
    <x v="15"/>
    <x v="316"/>
    <x v="499"/>
    <x v="426"/>
    <x v="22"/>
  </r>
  <r>
    <x v="4"/>
    <x v="137"/>
    <x v="0"/>
    <x v="268"/>
    <x v="441"/>
    <x v="14"/>
    <x v="317"/>
    <x v="500"/>
    <x v="427"/>
    <x v="23"/>
  </r>
  <r>
    <x v="4"/>
    <x v="85"/>
    <x v="0"/>
    <x v="269"/>
    <x v="442"/>
    <x v="16"/>
    <x v="318"/>
    <x v="501"/>
    <x v="428"/>
    <x v="23"/>
  </r>
  <r>
    <x v="4"/>
    <x v="86"/>
    <x v="0"/>
    <x v="20"/>
    <x v="443"/>
    <x v="18"/>
    <x v="72"/>
    <x v="502"/>
    <x v="429"/>
    <x v="20"/>
  </r>
  <r>
    <x v="4"/>
    <x v="117"/>
    <x v="0"/>
    <x v="270"/>
    <x v="444"/>
    <x v="10"/>
    <x v="214"/>
    <x v="503"/>
    <x v="430"/>
    <x v="16"/>
  </r>
  <r>
    <x v="4"/>
    <x v="87"/>
    <x v="0"/>
    <x v="271"/>
    <x v="445"/>
    <x v="17"/>
    <x v="319"/>
    <x v="504"/>
    <x v="431"/>
    <x v="17"/>
  </r>
  <r>
    <x v="4"/>
    <x v="89"/>
    <x v="0"/>
    <x v="272"/>
    <x v="446"/>
    <x v="11"/>
    <x v="218"/>
    <x v="505"/>
    <x v="432"/>
    <x v="17"/>
  </r>
  <r>
    <x v="4"/>
    <x v="90"/>
    <x v="0"/>
    <x v="273"/>
    <x v="447"/>
    <x v="9"/>
    <x v="88"/>
    <x v="506"/>
    <x v="433"/>
    <x v="13"/>
  </r>
  <r>
    <x v="4"/>
    <x v="91"/>
    <x v="0"/>
    <x v="274"/>
    <x v="448"/>
    <x v="8"/>
    <x v="229"/>
    <x v="507"/>
    <x v="434"/>
    <x v="10"/>
  </r>
  <r>
    <x v="4"/>
    <x v="92"/>
    <x v="0"/>
    <x v="275"/>
    <x v="449"/>
    <x v="31"/>
    <x v="228"/>
    <x v="508"/>
    <x v="435"/>
    <x v="15"/>
  </r>
  <r>
    <x v="4"/>
    <x v="93"/>
    <x v="0"/>
    <x v="276"/>
    <x v="450"/>
    <x v="33"/>
    <x v="280"/>
    <x v="509"/>
    <x v="436"/>
    <x v="13"/>
  </r>
  <r>
    <x v="4"/>
    <x v="94"/>
    <x v="0"/>
    <x v="277"/>
    <x v="451"/>
    <x v="5"/>
    <x v="281"/>
    <x v="510"/>
    <x v="437"/>
    <x v="14"/>
  </r>
  <r>
    <x v="4"/>
    <x v="95"/>
    <x v="0"/>
    <x v="278"/>
    <x v="452"/>
    <x v="31"/>
    <x v="310"/>
    <x v="511"/>
    <x v="438"/>
    <x v="16"/>
  </r>
  <r>
    <x v="4"/>
    <x v="96"/>
    <x v="0"/>
    <x v="279"/>
    <x v="453"/>
    <x v="33"/>
    <x v="283"/>
    <x v="512"/>
    <x v="439"/>
    <x v="15"/>
  </r>
  <r>
    <x v="4"/>
    <x v="97"/>
    <x v="0"/>
    <x v="280"/>
    <x v="454"/>
    <x v="33"/>
    <x v="285"/>
    <x v="513"/>
    <x v="440"/>
    <x v="15"/>
  </r>
  <r>
    <x v="4"/>
    <x v="98"/>
    <x v="0"/>
    <x v="14"/>
    <x v="455"/>
    <x v="9"/>
    <x v="252"/>
    <x v="514"/>
    <x v="441"/>
    <x v="15"/>
  </r>
  <r>
    <x v="4"/>
    <x v="121"/>
    <x v="0"/>
    <x v="281"/>
    <x v="456"/>
    <x v="16"/>
    <x v="311"/>
    <x v="515"/>
    <x v="442"/>
    <x v="20"/>
  </r>
  <r>
    <x v="4"/>
    <x v="122"/>
    <x v="0"/>
    <x v="282"/>
    <x v="457"/>
    <x v="14"/>
    <x v="94"/>
    <x v="516"/>
    <x v="443"/>
    <x v="20"/>
  </r>
  <r>
    <x v="4"/>
    <x v="124"/>
    <x v="0"/>
    <x v="283"/>
    <x v="458"/>
    <x v="17"/>
    <x v="311"/>
    <x v="517"/>
    <x v="444"/>
    <x v="20"/>
  </r>
  <r>
    <x v="4"/>
    <x v="99"/>
    <x v="0"/>
    <x v="284"/>
    <x v="459"/>
    <x v="37"/>
    <x v="285"/>
    <x v="518"/>
    <x v="445"/>
    <x v="20"/>
  </r>
  <r>
    <x v="4"/>
    <x v="100"/>
    <x v="0"/>
    <x v="285"/>
    <x v="460"/>
    <x v="29"/>
    <x v="224"/>
    <x v="519"/>
    <x v="446"/>
    <x v="22"/>
  </r>
  <r>
    <x v="4"/>
    <x v="101"/>
    <x v="0"/>
    <x v="286"/>
    <x v="461"/>
    <x v="17"/>
    <x v="96"/>
    <x v="520"/>
    <x v="447"/>
    <x v="23"/>
  </r>
  <r>
    <x v="4"/>
    <x v="101"/>
    <x v="1"/>
    <x v="287"/>
    <x v="462"/>
    <x v="6"/>
    <x v="90"/>
    <x v="521"/>
    <x v="448"/>
    <x v="10"/>
  </r>
  <r>
    <x v="4"/>
    <x v="102"/>
    <x v="0"/>
    <x v="288"/>
    <x v="463"/>
    <x v="31"/>
    <x v="320"/>
    <x v="522"/>
    <x v="449"/>
    <x v="15"/>
  </r>
  <r>
    <x v="5"/>
    <x v="92"/>
    <x v="0"/>
    <x v="289"/>
    <x v="464"/>
    <x v="22"/>
    <x v="304"/>
    <x v="523"/>
    <x v="450"/>
    <x v="18"/>
  </r>
  <r>
    <x v="5"/>
    <x v="119"/>
    <x v="0"/>
    <x v="290"/>
    <x v="465"/>
    <x v="3"/>
    <x v="71"/>
    <x v="524"/>
    <x v="451"/>
    <x v="6"/>
  </r>
  <r>
    <x v="5"/>
    <x v="93"/>
    <x v="0"/>
    <x v="291"/>
    <x v="466"/>
    <x v="39"/>
    <x v="235"/>
    <x v="525"/>
    <x v="452"/>
    <x v="4"/>
  </r>
  <r>
    <x v="5"/>
    <x v="94"/>
    <x v="0"/>
    <x v="292"/>
    <x v="467"/>
    <x v="43"/>
    <x v="300"/>
    <x v="526"/>
    <x v="453"/>
    <x v="3"/>
  </r>
  <r>
    <x v="5"/>
    <x v="120"/>
    <x v="0"/>
    <x v="293"/>
    <x v="468"/>
    <x v="43"/>
    <x v="235"/>
    <x v="527"/>
    <x v="454"/>
    <x v="2"/>
  </r>
  <r>
    <x v="5"/>
    <x v="96"/>
    <x v="0"/>
    <x v="294"/>
    <x v="469"/>
    <x v="39"/>
    <x v="228"/>
    <x v="528"/>
    <x v="455"/>
    <x v="4"/>
  </r>
  <r>
    <x v="5"/>
    <x v="97"/>
    <x v="0"/>
    <x v="295"/>
    <x v="470"/>
    <x v="32"/>
    <x v="226"/>
    <x v="529"/>
    <x v="456"/>
    <x v="6"/>
  </r>
  <r>
    <x v="5"/>
    <x v="98"/>
    <x v="0"/>
    <x v="296"/>
    <x v="471"/>
    <x v="0"/>
    <x v="252"/>
    <x v="530"/>
    <x v="457"/>
    <x v="4"/>
  </r>
  <r>
    <x v="5"/>
    <x v="121"/>
    <x v="0"/>
    <x v="297"/>
    <x v="472"/>
    <x v="39"/>
    <x v="279"/>
    <x v="531"/>
    <x v="458"/>
    <x v="3"/>
  </r>
  <r>
    <x v="5"/>
    <x v="122"/>
    <x v="0"/>
    <x v="298"/>
    <x v="473"/>
    <x v="39"/>
    <x v="271"/>
    <x v="532"/>
    <x v="459"/>
    <x v="3"/>
  </r>
  <r>
    <x v="5"/>
    <x v="123"/>
    <x v="0"/>
    <x v="55"/>
    <x v="474"/>
    <x v="46"/>
    <x v="3"/>
    <x v="533"/>
    <x v="460"/>
    <x v="3"/>
  </r>
  <r>
    <x v="5"/>
    <x v="99"/>
    <x v="0"/>
    <x v="299"/>
    <x v="475"/>
    <x v="43"/>
    <x v="288"/>
    <x v="534"/>
    <x v="461"/>
    <x v="2"/>
  </r>
  <r>
    <x v="5"/>
    <x v="100"/>
    <x v="0"/>
    <x v="300"/>
    <x v="476"/>
    <x v="7"/>
    <x v="287"/>
    <x v="535"/>
    <x v="462"/>
    <x v="12"/>
  </r>
  <r>
    <x v="5"/>
    <x v="101"/>
    <x v="0"/>
    <x v="301"/>
    <x v="477"/>
    <x v="42"/>
    <x v="284"/>
    <x v="536"/>
    <x v="463"/>
    <x v="4"/>
  </r>
  <r>
    <x v="5"/>
    <x v="102"/>
    <x v="0"/>
    <x v="302"/>
    <x v="478"/>
    <x v="12"/>
    <x v="321"/>
    <x v="537"/>
    <x v="464"/>
    <x v="3"/>
  </r>
  <r>
    <x v="6"/>
    <x v="119"/>
    <x v="0"/>
    <x v="303"/>
    <x v="479"/>
    <x v="6"/>
    <x v="322"/>
    <x v="538"/>
    <x v="465"/>
    <x v="14"/>
  </r>
  <r>
    <x v="6"/>
    <x v="93"/>
    <x v="0"/>
    <x v="304"/>
    <x v="480"/>
    <x v="42"/>
    <x v="193"/>
    <x v="539"/>
    <x v="466"/>
    <x v="4"/>
  </r>
  <r>
    <x v="6"/>
    <x v="94"/>
    <x v="0"/>
    <x v="305"/>
    <x v="481"/>
    <x v="41"/>
    <x v="220"/>
    <x v="540"/>
    <x v="467"/>
    <x v="1"/>
  </r>
  <r>
    <x v="6"/>
    <x v="120"/>
    <x v="0"/>
    <x v="306"/>
    <x v="482"/>
    <x v="46"/>
    <x v="294"/>
    <x v="541"/>
    <x v="468"/>
    <x v="5"/>
  </r>
  <r>
    <x v="6"/>
    <x v="95"/>
    <x v="0"/>
    <x v="307"/>
    <x v="483"/>
    <x v="39"/>
    <x v="248"/>
    <x v="542"/>
    <x v="469"/>
    <x v="5"/>
  </r>
  <r>
    <x v="6"/>
    <x v="97"/>
    <x v="0"/>
    <x v="116"/>
    <x v="484"/>
    <x v="13"/>
    <x v="160"/>
    <x v="543"/>
    <x v="470"/>
    <x v="18"/>
  </r>
  <r>
    <x v="6"/>
    <x v="98"/>
    <x v="0"/>
    <x v="135"/>
    <x v="485"/>
    <x v="31"/>
    <x v="215"/>
    <x v="544"/>
    <x v="471"/>
    <x v="14"/>
  </r>
  <r>
    <x v="6"/>
    <x v="121"/>
    <x v="0"/>
    <x v="308"/>
    <x v="486"/>
    <x v="1"/>
    <x v="25"/>
    <x v="545"/>
    <x v="472"/>
    <x v="4"/>
  </r>
  <r>
    <x v="6"/>
    <x v="122"/>
    <x v="0"/>
    <x v="309"/>
    <x v="487"/>
    <x v="46"/>
    <x v="268"/>
    <x v="546"/>
    <x v="473"/>
    <x v="4"/>
  </r>
  <r>
    <x v="6"/>
    <x v="123"/>
    <x v="0"/>
    <x v="310"/>
    <x v="488"/>
    <x v="46"/>
    <x v="196"/>
    <x v="547"/>
    <x v="474"/>
    <x v="2"/>
  </r>
  <r>
    <x v="6"/>
    <x v="124"/>
    <x v="0"/>
    <x v="311"/>
    <x v="466"/>
    <x v="39"/>
    <x v="82"/>
    <x v="548"/>
    <x v="475"/>
    <x v="2"/>
  </r>
  <r>
    <x v="6"/>
    <x v="99"/>
    <x v="0"/>
    <x v="312"/>
    <x v="489"/>
    <x v="47"/>
    <x v="323"/>
    <x v="549"/>
    <x v="476"/>
    <x v="9"/>
  </r>
  <r>
    <x v="6"/>
    <x v="100"/>
    <x v="0"/>
    <x v="313"/>
    <x v="490"/>
    <x v="2"/>
    <x v="282"/>
    <x v="550"/>
    <x v="477"/>
    <x v="7"/>
  </r>
  <r>
    <x v="6"/>
    <x v="101"/>
    <x v="0"/>
    <x v="314"/>
    <x v="491"/>
    <x v="32"/>
    <x v="90"/>
    <x v="551"/>
    <x v="478"/>
    <x v="6"/>
  </r>
  <r>
    <x v="6"/>
    <x v="102"/>
    <x v="0"/>
    <x v="315"/>
    <x v="492"/>
    <x v="43"/>
    <x v="324"/>
    <x v="552"/>
    <x v="47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rowGrandTotals="0" colGrandTotals="0" compact="0" indent="0" outline="1" compactData="0" outlineData="1" showDrill="1" multipleFieldFilters="0">
  <location ref="J1:L7" firstHeaderRow="1" firstDataRow="2" firstDataCol="1"/>
  <pivotFields count="8">
    <pivotField compact="0" defaultSubtotal="0" numFmtId="14" showAll="0">
      <items count="135">
        <item x="0"/>
        <item x="1"/>
        <item x="2"/>
        <item x="3"/>
        <item x="4"/>
        <item x="9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94"/>
        <item x="25"/>
        <item x="26"/>
        <item x="27"/>
        <item x="28"/>
        <item x="112"/>
        <item x="29"/>
        <item x="30"/>
        <item x="31"/>
        <item x="32"/>
        <item x="33"/>
        <item x="95"/>
        <item x="113"/>
        <item x="34"/>
        <item x="35"/>
        <item x="36"/>
        <item x="37"/>
        <item x="38"/>
        <item x="96"/>
        <item x="114"/>
        <item x="39"/>
        <item x="40"/>
        <item x="41"/>
        <item x="42"/>
        <item x="43"/>
        <item x="97"/>
        <item x="115"/>
        <item x="44"/>
        <item x="45"/>
        <item x="98"/>
        <item x="46"/>
        <item x="47"/>
        <item x="48"/>
        <item x="116"/>
        <item x="49"/>
        <item x="50"/>
        <item x="51"/>
        <item x="52"/>
        <item x="53"/>
        <item x="54"/>
        <item x="117"/>
        <item x="55"/>
        <item x="56"/>
        <item x="57"/>
        <item x="99"/>
        <item x="124"/>
        <item x="100"/>
        <item x="101"/>
        <item x="58"/>
        <item x="125"/>
        <item x="59"/>
        <item x="118"/>
        <item x="119"/>
        <item x="60"/>
        <item x="61"/>
        <item x="62"/>
        <item x="63"/>
        <item x="64"/>
        <item x="65"/>
        <item x="66"/>
        <item x="67"/>
        <item x="120"/>
        <item x="102"/>
        <item x="103"/>
        <item x="104"/>
        <item x="68"/>
        <item x="69"/>
        <item x="70"/>
        <item x="121"/>
        <item x="71"/>
        <item x="72"/>
        <item x="73"/>
        <item x="74"/>
        <item x="75"/>
        <item x="76"/>
        <item x="122"/>
        <item x="105"/>
        <item x="106"/>
        <item x="77"/>
        <item x="107"/>
        <item x="78"/>
        <item x="79"/>
        <item x="123"/>
        <item x="80"/>
        <item x="81"/>
        <item x="108"/>
        <item x="82"/>
        <item x="83"/>
        <item x="84"/>
        <item x="109"/>
        <item x="85"/>
        <item x="86"/>
        <item x="87"/>
        <item x="110"/>
        <item x="88"/>
        <item x="89"/>
        <item x="111"/>
        <item x="90"/>
        <item x="91"/>
        <item x="92"/>
        <item x="126"/>
        <item x="127"/>
        <item x="128"/>
        <item x="129"/>
        <item x="130"/>
        <item x="131"/>
        <item x="132"/>
        <item x="133"/>
        <item x="134"/>
      </items>
    </pivotField>
    <pivotField compact="0" defaultSubtotal="0" showAll="0">
      <items count="2">
        <item x="0"/>
        <item x="1"/>
      </items>
    </pivotField>
    <pivotField axis="axisCol" compact="0" defaultSubtotal="0" multipleItemSelectionAllowed="1" showAll="0">
      <items count="7">
        <item h="1" x="5"/>
        <item h="1" x="4"/>
        <item h="1" x="6"/>
        <item h="1" x="2"/>
        <item x="1"/>
        <item h="1" x="3"/>
        <item x="0"/>
      </items>
    </pivotField>
    <pivotField compact="0" defaultSubtotal="0" showAll="0">
      <items count="5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</items>
    </pivotField>
    <pivotField compact="0" defaultSubtotal="0" showAll="0">
      <items count="3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</items>
    </pivotField>
    <pivotField compact="0" showAll="0"/>
    <pivotField dataField="1" compact="0" defaultSubtotal="0" numFmtId="43" showAll="0">
      <items count="3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2">
    <i>
      <x v="4"/>
    </i>
    <i>
      <x v="6"/>
    </i>
  </colItems>
  <dataFields count="1">
    <dataField name="求和项:主播收入(K盾)" fld="6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rowGrandTotals="0" colGrandTotals="0" compact="0" indent="0" outline="1" compactData="0" outlineData="1" showDrill="1" multipleFieldFilters="0">
  <location ref="J11:N23" firstHeaderRow="1" firstDataRow="2" firstDataCol="2"/>
  <pivotFields count="8">
    <pivotField compact="0" defaultSubtotal="0" numFmtId="14" showAll="0">
      <items count="135">
        <item x="0"/>
        <item x="1"/>
        <item x="2"/>
        <item x="3"/>
        <item x="4"/>
        <item x="9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94"/>
        <item x="25"/>
        <item x="26"/>
        <item x="27"/>
        <item x="28"/>
        <item x="112"/>
        <item x="29"/>
        <item x="30"/>
        <item x="31"/>
        <item x="32"/>
        <item x="33"/>
        <item x="95"/>
        <item x="113"/>
        <item x="34"/>
        <item x="35"/>
        <item x="36"/>
        <item x="37"/>
        <item x="38"/>
        <item x="96"/>
        <item x="114"/>
        <item x="39"/>
        <item x="40"/>
        <item x="41"/>
        <item x="42"/>
        <item x="43"/>
        <item x="97"/>
        <item x="115"/>
        <item x="44"/>
        <item x="45"/>
        <item x="98"/>
        <item x="46"/>
        <item x="47"/>
        <item x="48"/>
        <item x="116"/>
        <item x="49"/>
        <item x="50"/>
        <item x="51"/>
        <item x="52"/>
        <item x="53"/>
        <item x="54"/>
        <item x="117"/>
        <item x="55"/>
        <item x="56"/>
        <item x="57"/>
        <item x="99"/>
        <item x="124"/>
        <item x="100"/>
        <item x="101"/>
        <item x="58"/>
        <item x="125"/>
        <item x="59"/>
        <item x="118"/>
        <item x="119"/>
        <item x="60"/>
        <item x="61"/>
        <item x="62"/>
        <item x="63"/>
        <item x="64"/>
        <item x="65"/>
        <item x="66"/>
        <item x="67"/>
        <item x="120"/>
        <item x="102"/>
        <item x="103"/>
        <item x="104"/>
        <item x="68"/>
        <item x="69"/>
        <item x="70"/>
        <item x="121"/>
        <item x="71"/>
        <item x="72"/>
        <item x="73"/>
        <item x="74"/>
        <item x="75"/>
        <item x="76"/>
        <item x="122"/>
        <item x="105"/>
        <item x="106"/>
        <item x="77"/>
        <item x="107"/>
        <item x="78"/>
        <item x="79"/>
        <item x="123"/>
        <item x="80"/>
        <item x="81"/>
        <item x="108"/>
        <item x="82"/>
        <item x="83"/>
        <item x="84"/>
        <item x="109"/>
        <item x="85"/>
        <item x="86"/>
        <item x="87"/>
        <item x="110"/>
        <item x="88"/>
        <item x="89"/>
        <item x="111"/>
        <item x="90"/>
        <item x="91"/>
        <item x="92"/>
        <item x="126"/>
        <item x="127"/>
        <item x="128"/>
        <item x="129"/>
        <item x="130"/>
        <item x="131"/>
        <item x="132"/>
        <item x="133"/>
        <item x="134"/>
      </items>
    </pivotField>
    <pivotField axis="axisRow" compact="0" defaultSubtotal="0" multipleItemSelectionAllowed="1" showAll="0">
      <items count="2">
        <item x="0"/>
        <item x="1"/>
      </items>
    </pivotField>
    <pivotField axis="axisCol" compact="0" defaultSubtotal="0" multipleItemSelectionAllowed="1" showAll="0">
      <items count="7">
        <item h="1" x="5"/>
        <item h="1" x="4"/>
        <item h="1" x="6"/>
        <item x="2"/>
        <item x="1"/>
        <item h="1" x="3"/>
        <item x="0"/>
      </items>
    </pivotField>
    <pivotField compact="0" defaultSubtotal="0" showAll="0">
      <items count="5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</items>
    </pivotField>
    <pivotField compact="0" defaultSubtotal="0" showAll="0">
      <items count="3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</items>
    </pivotField>
    <pivotField dataField="1" compact="0" showAll="0"/>
    <pivotField compact="0" defaultSubtotal="0" numFmtId="43" showAll="0">
      <items count="3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</pivotFields>
  <rowFields count="2">
    <field x="1"/>
    <field x="7"/>
  </rowFields>
  <rowItems count="1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</rowItems>
  <colFields count="1">
    <field x="2"/>
  </colFields>
  <colItems count="3">
    <i>
      <x v="3"/>
    </i>
    <i>
      <x v="4"/>
    </i>
    <i>
      <x v="6"/>
    </i>
  </colItems>
  <dataFields count="1">
    <dataField name="求和项:公司收入(K盾)" fld="5" baseField="0" baseItem="0"/>
  </dataFields>
  <formats count="3"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rowGrandTotals="0" colGrandTotals="0" compact="0" indent="0" outline="1" compactData="0" outlineData="1" showDrill="1" multipleFieldFilters="0" chartFormat="2">
  <location ref="M3:T142" firstHeaderRow="1" firstDataRow="2" firstDataCol="1"/>
  <pivotFields count="10">
    <pivotField axis="axisCol" compact="0" sortType="descending" showAll="0">
      <items count="8">
        <item x="5"/>
        <item x="4"/>
        <item x="6"/>
        <item x="2"/>
        <item x="1"/>
        <item x="3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numFmtId="58" showAll="0">
      <items count="139">
        <item x="0"/>
        <item x="1"/>
        <item x="2"/>
        <item x="3"/>
        <item x="4"/>
        <item x="5"/>
        <item x="6"/>
        <item x="7"/>
        <item x="8"/>
        <item x="9"/>
        <item x="103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104"/>
        <item x="30"/>
        <item x="31"/>
        <item x="32"/>
        <item x="33"/>
        <item x="125"/>
        <item x="34"/>
        <item x="35"/>
        <item x="36"/>
        <item x="37"/>
        <item x="38"/>
        <item x="105"/>
        <item x="126"/>
        <item x="39"/>
        <item x="40"/>
        <item x="41"/>
        <item x="42"/>
        <item x="43"/>
        <item x="106"/>
        <item x="127"/>
        <item x="44"/>
        <item x="45"/>
        <item x="46"/>
        <item x="47"/>
        <item x="48"/>
        <item x="107"/>
        <item x="128"/>
        <item x="49"/>
        <item x="50"/>
        <item x="108"/>
        <item x="51"/>
        <item x="52"/>
        <item x="53"/>
        <item x="129"/>
        <item x="54"/>
        <item x="55"/>
        <item x="56"/>
        <item x="57"/>
        <item x="58"/>
        <item x="59"/>
        <item x="130"/>
        <item x="60"/>
        <item x="61"/>
        <item x="62"/>
        <item x="109"/>
        <item x="110"/>
        <item x="111"/>
        <item x="131"/>
        <item x="63"/>
        <item x="132"/>
        <item x="133"/>
        <item x="64"/>
        <item x="65"/>
        <item x="66"/>
        <item x="67"/>
        <item x="68"/>
        <item x="69"/>
        <item x="70"/>
        <item x="71"/>
        <item x="134"/>
        <item x="112"/>
        <item x="113"/>
        <item x="114"/>
        <item x="72"/>
        <item x="73"/>
        <item x="74"/>
        <item x="135"/>
        <item x="75"/>
        <item x="76"/>
        <item x="77"/>
        <item x="78"/>
        <item x="79"/>
        <item x="80"/>
        <item x="136"/>
        <item x="115"/>
        <item x="81"/>
        <item x="82"/>
        <item x="116"/>
        <item x="83"/>
        <item x="84"/>
        <item x="137"/>
        <item x="85"/>
        <item x="86"/>
        <item x="117"/>
        <item x="87"/>
        <item x="88"/>
        <item x="89"/>
        <item x="118"/>
        <item x="90"/>
        <item x="91"/>
        <item x="92"/>
        <item x="119"/>
        <item x="93"/>
        <item x="94"/>
        <item x="120"/>
        <item x="95"/>
        <item x="96"/>
        <item x="97"/>
        <item x="98"/>
        <item x="121"/>
        <item x="122"/>
        <item x="123"/>
        <item x="124"/>
        <item x="99"/>
        <item x="100"/>
        <item x="101"/>
        <item x="102"/>
        <item t="default"/>
      </items>
    </pivotField>
    <pivotField compact="0" numFmtId="176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</pivotFields>
  <rowFields count="1">
    <field x="1"/>
  </rowFields>
  <rowItems count="1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</rowItems>
  <colFields count="1">
    <field x="0"/>
  </colFields>
  <colItems count="7">
    <i>
      <x v="4"/>
    </i>
    <i>
      <x v="6"/>
    </i>
    <i>
      <x v="3"/>
    </i>
    <i>
      <x v="5"/>
    </i>
    <i>
      <x v="1"/>
    </i>
    <i>
      <x v="2"/>
    </i>
    <i>
      <x/>
    </i>
  </colItems>
  <dataFields count="1">
    <dataField name="求和项:观看次数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8"/>
  <sheetViews>
    <sheetView topLeftCell="B1" workbookViewId="0">
      <selection activeCell="J29" sqref="J29"/>
    </sheetView>
  </sheetViews>
  <sheetFormatPr defaultColWidth="8.8" defaultRowHeight="13"/>
  <cols>
    <col min="1" max="2" width="13.1" customWidth="1"/>
    <col min="3" max="4" width="15.4" customWidth="1"/>
    <col min="5" max="5" width="14.2" customWidth="1"/>
    <col min="6" max="7" width="15.4" customWidth="1"/>
    <col min="10" max="10" width="24.7"/>
    <col min="11" max="11" width="18.8"/>
    <col min="12" max="13" width="9.7"/>
    <col min="14" max="14" width="10.8"/>
    <col min="15" max="17" width="17.4"/>
    <col min="18" max="18" width="11.9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2</v>
      </c>
    </row>
    <row r="2" spans="1:14">
      <c r="A2" s="43">
        <v>45992</v>
      </c>
      <c r="B2" t="s">
        <v>9</v>
      </c>
      <c r="C2" t="s">
        <v>10</v>
      </c>
      <c r="D2">
        <v>131</v>
      </c>
      <c r="E2">
        <v>32</v>
      </c>
      <c r="F2" cm="1">
        <f t="array" ref="F2">_xlfn.IFS(B2="tt",D2/100*7*3900/1000,B2="order",D2/1000)</f>
        <v>35.763</v>
      </c>
      <c r="G2" s="44" cm="1">
        <f t="array" ref="G2">_xlfn.IFS(B2="tt",E2/100*7*3900/1000,B2="order",E2/1000)</f>
        <v>8.736</v>
      </c>
      <c r="H2" t="str">
        <f>YEAR(A2)&amp;RIGHT("0"&amp;MONTH(A2),2)</f>
        <v>202512</v>
      </c>
      <c r="J2" t="s">
        <v>7</v>
      </c>
      <c r="K2" t="s">
        <v>11</v>
      </c>
      <c r="L2" t="s">
        <v>10</v>
      </c>
    </row>
    <row r="3" spans="1:14">
      <c r="A3" s="43">
        <v>45993</v>
      </c>
      <c r="B3" t="s">
        <v>9</v>
      </c>
      <c r="C3" t="s">
        <v>10</v>
      </c>
      <c r="D3">
        <v>437</v>
      </c>
      <c r="E3">
        <v>109</v>
      </c>
      <c r="F3" cm="1">
        <f t="array" ref="F3">_xlfn.IFS(B3="tt",D3/100*7*3900/1000,B3="order",D3/1000)</f>
        <v>119.301</v>
      </c>
      <c r="G3" s="44" cm="1">
        <f t="array" ref="G3">_xlfn.IFS(B3="tt",E3/100*7*3900/1000,B3="order",E3/1000)</f>
        <v>29.757</v>
      </c>
      <c r="H3" t="str">
        <f t="shared" ref="H3:H66" si="0">YEAR(A3)&amp;RIGHT("0"&amp;MONTH(A3),2)</f>
        <v>202512</v>
      </c>
      <c r="J3" t="s">
        <v>12</v>
      </c>
      <c r="K3" s="45">
        <v>6678.126</v>
      </c>
      <c r="L3" s="45">
        <v>2203.656</v>
      </c>
    </row>
    <row r="4" spans="1:14">
      <c r="A4" s="43">
        <v>45994</v>
      </c>
      <c r="B4" t="s">
        <v>9</v>
      </c>
      <c r="C4" t="s">
        <v>10</v>
      </c>
      <c r="D4">
        <v>148</v>
      </c>
      <c r="E4">
        <v>37</v>
      </c>
      <c r="F4" cm="1">
        <f t="array" ref="F4">_xlfn.IFS(B4="tt",D4/100*7*3900/1000,B4="order",D4/1000)</f>
        <v>40.404</v>
      </c>
      <c r="G4" s="44" cm="1">
        <f t="array" ref="G4">_xlfn.IFS(B4="tt",E4/100*7*3900/1000,B4="order",E4/1000)</f>
        <v>10.101</v>
      </c>
      <c r="H4" t="str">
        <f t="shared" si="0"/>
        <v>202512</v>
      </c>
      <c r="J4" t="s">
        <v>13</v>
      </c>
      <c r="K4" s="45">
        <v>24051.231</v>
      </c>
      <c r="L4" s="45">
        <v>9305.744</v>
      </c>
    </row>
    <row r="5" spans="1:14">
      <c r="A5" s="43">
        <v>45995</v>
      </c>
      <c r="B5" t="s">
        <v>9</v>
      </c>
      <c r="C5" t="s">
        <v>10</v>
      </c>
      <c r="D5">
        <v>98</v>
      </c>
      <c r="E5">
        <v>24</v>
      </c>
      <c r="F5" cm="1">
        <f t="array" ref="F5">_xlfn.IFS(B5="tt",D5/100*7*3900/1000,B5="order",D5/1000)</f>
        <v>26.754</v>
      </c>
      <c r="G5" s="44" cm="1">
        <f t="array" ref="G5">_xlfn.IFS(B5="tt",E5/100*7*3900/1000,B5="order",E5/1000)</f>
        <v>6.552</v>
      </c>
      <c r="H5" t="str">
        <f t="shared" si="0"/>
        <v>202512</v>
      </c>
      <c r="J5" t="s">
        <v>14</v>
      </c>
      <c r="K5" s="45">
        <v>38819.899</v>
      </c>
      <c r="L5" s="45">
        <v>40913.062</v>
      </c>
    </row>
    <row r="6" spans="1:14">
      <c r="A6" s="43">
        <v>45996</v>
      </c>
      <c r="B6" t="s">
        <v>9</v>
      </c>
      <c r="C6" t="s">
        <v>10</v>
      </c>
      <c r="D6">
        <v>302</v>
      </c>
      <c r="E6">
        <v>75</v>
      </c>
      <c r="F6" cm="1">
        <f t="array" ref="F6">_xlfn.IFS(B6="tt",D6/100*7*3900/1000,B6="order",D6/1000)</f>
        <v>82.446</v>
      </c>
      <c r="G6" s="44" cm="1">
        <f t="array" ref="G6">_xlfn.IFS(B6="tt",E6/100*7*3900/1000,B6="order",E6/1000)</f>
        <v>20.475</v>
      </c>
      <c r="H6" t="str">
        <f t="shared" si="0"/>
        <v>202512</v>
      </c>
      <c r="J6" t="s">
        <v>15</v>
      </c>
      <c r="K6" s="45">
        <v>52814.814</v>
      </c>
      <c r="L6" s="45">
        <v>39723.311</v>
      </c>
    </row>
    <row r="7" spans="1:14">
      <c r="A7" s="43">
        <v>45998</v>
      </c>
      <c r="B7" t="s">
        <v>9</v>
      </c>
      <c r="C7" t="s">
        <v>10</v>
      </c>
      <c r="D7">
        <v>669</v>
      </c>
      <c r="E7">
        <v>167</v>
      </c>
      <c r="F7" cm="1">
        <f t="array" ref="F7">_xlfn.IFS(B7="tt",D7/100*7*3900/1000,B7="order",D7/1000)</f>
        <v>182.637</v>
      </c>
      <c r="G7" s="44" cm="1">
        <f t="array" ref="G7">_xlfn.IFS(B7="tt",E7/100*7*3900/1000,B7="order",E7/1000)</f>
        <v>45.591</v>
      </c>
      <c r="H7" t="str">
        <f t="shared" si="0"/>
        <v>202512</v>
      </c>
      <c r="J7" t="s">
        <v>16</v>
      </c>
      <c r="K7" s="45">
        <v>25746.87</v>
      </c>
      <c r="L7" s="45">
        <v>16597.596</v>
      </c>
    </row>
    <row r="8" spans="1:14">
      <c r="A8" s="43">
        <v>45999</v>
      </c>
      <c r="B8" t="s">
        <v>9</v>
      </c>
      <c r="C8" t="s">
        <v>10</v>
      </c>
      <c r="D8">
        <v>1119</v>
      </c>
      <c r="E8">
        <v>279</v>
      </c>
      <c r="F8" cm="1">
        <f t="array" ref="F8">_xlfn.IFS(B8="tt",D8/100*7*3900/1000,B8="order",D8/1000)</f>
        <v>305.487</v>
      </c>
      <c r="G8" s="44" cm="1">
        <f t="array" ref="G8">_xlfn.IFS(B8="tt",E8/100*7*3900/1000,B8="order",E8/1000)</f>
        <v>76.167</v>
      </c>
      <c r="H8" t="str">
        <f t="shared" si="0"/>
        <v>202512</v>
      </c>
    </row>
    <row r="9" spans="1:14">
      <c r="A9" s="43">
        <v>46000</v>
      </c>
      <c r="B9" t="s">
        <v>9</v>
      </c>
      <c r="C9" t="s">
        <v>10</v>
      </c>
      <c r="D9">
        <v>1147</v>
      </c>
      <c r="E9">
        <v>286</v>
      </c>
      <c r="F9" cm="1">
        <f t="array" ref="F9">_xlfn.IFS(B9="tt",D9/100*7*3900/1000,B9="order",D9/1000)</f>
        <v>313.131</v>
      </c>
      <c r="G9" s="44" cm="1">
        <f t="array" ref="G9">_xlfn.IFS(B9="tt",E9/100*7*3900/1000,B9="order",E9/1000)</f>
        <v>78.078</v>
      </c>
      <c r="H9" t="str">
        <f t="shared" si="0"/>
        <v>202512</v>
      </c>
    </row>
    <row r="10" spans="1:14">
      <c r="A10" s="43">
        <v>46001</v>
      </c>
      <c r="B10" t="s">
        <v>9</v>
      </c>
      <c r="C10" t="s">
        <v>10</v>
      </c>
      <c r="D10">
        <v>470</v>
      </c>
      <c r="E10">
        <v>117</v>
      </c>
      <c r="F10" cm="1">
        <f t="array" ref="F10">_xlfn.IFS(B10="tt",D10/100*7*3900/1000,B10="order",D10/1000)</f>
        <v>128.31</v>
      </c>
      <c r="G10" s="44" cm="1">
        <f t="array" ref="G10">_xlfn.IFS(B10="tt",E10/100*7*3900/1000,B10="order",E10/1000)</f>
        <v>31.941</v>
      </c>
      <c r="H10" t="str">
        <f t="shared" si="0"/>
        <v>202512</v>
      </c>
    </row>
    <row r="11" spans="1:14">
      <c r="A11" s="43">
        <v>46002</v>
      </c>
      <c r="B11" t="s">
        <v>9</v>
      </c>
      <c r="C11" t="s">
        <v>10</v>
      </c>
      <c r="D11">
        <v>3427</v>
      </c>
      <c r="E11">
        <v>856</v>
      </c>
      <c r="F11" cm="1">
        <f t="array" ref="F11">_xlfn.IFS(B11="tt",D11/100*7*3900/1000,B11="order",D11/1000)</f>
        <v>935.571</v>
      </c>
      <c r="G11" s="44" cm="1">
        <f t="array" ref="G11">_xlfn.IFS(B11="tt",E11/100*7*3900/1000,B11="order",E11/1000)</f>
        <v>233.688</v>
      </c>
      <c r="H11" t="str">
        <f t="shared" si="0"/>
        <v>202512</v>
      </c>
      <c r="J11" t="s">
        <v>17</v>
      </c>
      <c r="K11"/>
      <c r="L11" t="s">
        <v>2</v>
      </c>
    </row>
    <row r="12" spans="1:14">
      <c r="A12" s="43">
        <v>46004</v>
      </c>
      <c r="B12" t="s">
        <v>9</v>
      </c>
      <c r="C12" t="s">
        <v>10</v>
      </c>
      <c r="D12">
        <v>443</v>
      </c>
      <c r="E12">
        <v>110</v>
      </c>
      <c r="F12" cm="1">
        <f t="array" ref="F12">_xlfn.IFS(B12="tt",D12/100*7*3900/1000,B12="order",D12/1000)</f>
        <v>120.939</v>
      </c>
      <c r="G12" s="44" cm="1">
        <f t="array" ref="G12">_xlfn.IFS(B12="tt",E12/100*7*3900/1000,B12="order",E12/1000)</f>
        <v>30.03</v>
      </c>
      <c r="H12" t="str">
        <f t="shared" si="0"/>
        <v>202512</v>
      </c>
      <c r="J12" t="s">
        <v>1</v>
      </c>
      <c r="K12" t="s">
        <v>7</v>
      </c>
      <c r="L12" t="s">
        <v>18</v>
      </c>
      <c r="M12" t="s">
        <v>11</v>
      </c>
      <c r="N12" t="s">
        <v>10</v>
      </c>
    </row>
    <row r="13" spans="1:14">
      <c r="A13" s="43">
        <v>46005</v>
      </c>
      <c r="B13" t="s">
        <v>9</v>
      </c>
      <c r="C13" t="s">
        <v>10</v>
      </c>
      <c r="D13">
        <v>4818</v>
      </c>
      <c r="E13">
        <v>1204</v>
      </c>
      <c r="F13" cm="1">
        <f t="array" ref="F13">_xlfn.IFS(B13="tt",D13/100*7*3900/1000,B13="order",D13/1000)</f>
        <v>1315.314</v>
      </c>
      <c r="G13" s="44" cm="1">
        <f t="array" ref="G13">_xlfn.IFS(B13="tt",E13/100*7*3900/1000,B13="order",E13/1000)</f>
        <v>328.692</v>
      </c>
      <c r="H13" t="str">
        <f t="shared" si="0"/>
        <v>202512</v>
      </c>
      <c r="J13" t="s">
        <v>9</v>
      </c>
      <c r="K13"/>
      <c r="L13" s="45"/>
      <c r="M13" s="45"/>
      <c r="N13" s="45"/>
    </row>
    <row r="14" spans="1:14">
      <c r="A14" s="43">
        <v>46007</v>
      </c>
      <c r="B14" t="s">
        <v>9</v>
      </c>
      <c r="C14" t="s">
        <v>10</v>
      </c>
      <c r="D14">
        <v>1797</v>
      </c>
      <c r="E14">
        <v>449</v>
      </c>
      <c r="F14" cm="1">
        <f t="array" ref="F14">_xlfn.IFS(B14="tt",D14/100*7*3900/1000,B14="order",D14/1000)</f>
        <v>490.581</v>
      </c>
      <c r="G14" s="44" cm="1">
        <f t="array" ref="G14">_xlfn.IFS(B14="tt",E14/100*7*3900/1000,B14="order",E14/1000)</f>
        <v>122.577</v>
      </c>
      <c r="H14" t="str">
        <f t="shared" si="0"/>
        <v>202512</v>
      </c>
      <c r="K14" t="s">
        <v>12</v>
      </c>
      <c r="L14" s="45"/>
      <c r="M14" s="45">
        <v>26723.97</v>
      </c>
      <c r="N14" s="45">
        <v>8827.182</v>
      </c>
    </row>
    <row r="15" spans="1:14">
      <c r="A15" s="43">
        <v>46008</v>
      </c>
      <c r="B15" t="s">
        <v>9</v>
      </c>
      <c r="C15" t="s">
        <v>10</v>
      </c>
      <c r="D15">
        <v>738</v>
      </c>
      <c r="E15">
        <v>184</v>
      </c>
      <c r="F15" cm="1">
        <f t="array" ref="F15">_xlfn.IFS(B15="tt",D15/100*7*3900/1000,B15="order",D15/1000)</f>
        <v>201.474</v>
      </c>
      <c r="G15" s="44" cm="1">
        <f t="array" ref="G15">_xlfn.IFS(B15="tt",E15/100*7*3900/1000,B15="order",E15/1000)</f>
        <v>50.232</v>
      </c>
      <c r="H15" t="str">
        <f t="shared" si="0"/>
        <v>202512</v>
      </c>
      <c r="K15" t="s">
        <v>13</v>
      </c>
      <c r="L15" s="45">
        <v>21659.274</v>
      </c>
      <c r="M15" s="45">
        <v>87750.39</v>
      </c>
      <c r="N15" s="45">
        <v>32746.077</v>
      </c>
    </row>
    <row r="16" spans="1:14">
      <c r="A16" s="43">
        <v>46009</v>
      </c>
      <c r="B16" t="s">
        <v>9</v>
      </c>
      <c r="C16" t="s">
        <v>10</v>
      </c>
      <c r="D16">
        <v>852</v>
      </c>
      <c r="E16">
        <v>213</v>
      </c>
      <c r="F16" cm="1">
        <f t="array" ref="F16">_xlfn.IFS(B16="tt",D16/100*7*3900/1000,B16="order",D16/1000)</f>
        <v>232.596</v>
      </c>
      <c r="G16" s="44" cm="1">
        <f t="array" ref="G16">_xlfn.IFS(B16="tt",E16/100*7*3900/1000,B16="order",E16/1000)</f>
        <v>58.149</v>
      </c>
      <c r="H16" t="str">
        <f t="shared" si="0"/>
        <v>202512</v>
      </c>
      <c r="K16" t="s">
        <v>14</v>
      </c>
      <c r="L16" s="45">
        <v>51086.763</v>
      </c>
      <c r="M16" s="45">
        <v>93552.459</v>
      </c>
      <c r="N16" s="45">
        <v>25006.527</v>
      </c>
    </row>
    <row r="17" spans="1:14">
      <c r="A17" s="43">
        <v>46010</v>
      </c>
      <c r="B17" t="s">
        <v>9</v>
      </c>
      <c r="C17" t="s">
        <v>10</v>
      </c>
      <c r="D17">
        <v>1354</v>
      </c>
      <c r="E17">
        <v>338</v>
      </c>
      <c r="F17" cm="1">
        <f t="array" ref="F17">_xlfn.IFS(B17="tt",D17/100*7*3900/1000,B17="order",D17/1000)</f>
        <v>369.642</v>
      </c>
      <c r="G17" s="44" cm="1">
        <f t="array" ref="G17">_xlfn.IFS(B17="tt",E17/100*7*3900/1000,B17="order",E17/1000)</f>
        <v>92.274</v>
      </c>
      <c r="H17" t="str">
        <f t="shared" si="0"/>
        <v>202512</v>
      </c>
      <c r="K17" t="s">
        <v>15</v>
      </c>
      <c r="L17" s="45">
        <v>99067.605</v>
      </c>
      <c r="M17" s="45">
        <v>145156.83</v>
      </c>
      <c r="N17" s="45">
        <v>16448.25</v>
      </c>
    </row>
    <row r="18" spans="1:14">
      <c r="A18" s="43">
        <v>46011</v>
      </c>
      <c r="B18" t="s">
        <v>9</v>
      </c>
      <c r="C18" t="s">
        <v>10</v>
      </c>
      <c r="D18">
        <v>43</v>
      </c>
      <c r="E18">
        <v>10</v>
      </c>
      <c r="F18" cm="1">
        <f t="array" ref="F18">_xlfn.IFS(B18="tt",D18/100*7*3900/1000,B18="order",D18/1000)</f>
        <v>11.739</v>
      </c>
      <c r="G18" s="44" cm="1">
        <f t="array" ref="G18">_xlfn.IFS(B18="tt",E18/100*7*3900/1000,B18="order",E18/1000)</f>
        <v>2.73</v>
      </c>
      <c r="H18" t="str">
        <f t="shared" si="0"/>
        <v>202512</v>
      </c>
      <c r="K18" t="s">
        <v>16</v>
      </c>
      <c r="L18" s="45">
        <v>63720.657</v>
      </c>
      <c r="M18" s="45">
        <v>79167.543</v>
      </c>
      <c r="N18" s="45">
        <v>7760.025</v>
      </c>
    </row>
    <row r="19" spans="1:14">
      <c r="A19" s="43">
        <v>46012</v>
      </c>
      <c r="B19" t="s">
        <v>9</v>
      </c>
      <c r="C19" t="s">
        <v>10</v>
      </c>
      <c r="D19">
        <v>1913</v>
      </c>
      <c r="E19">
        <v>478</v>
      </c>
      <c r="F19" cm="1">
        <f t="array" ref="F19">_xlfn.IFS(B19="tt",D19/100*7*3900/1000,B19="order",D19/1000)</f>
        <v>522.249</v>
      </c>
      <c r="G19" s="44" cm="1">
        <f t="array" ref="G19">_xlfn.IFS(B19="tt",E19/100*7*3900/1000,B19="order",E19/1000)</f>
        <v>130.494</v>
      </c>
      <c r="H19" t="str">
        <f t="shared" si="0"/>
        <v>202512</v>
      </c>
      <c r="J19" t="s">
        <v>19</v>
      </c>
      <c r="K19"/>
      <c r="L19" s="45"/>
      <c r="M19" s="45"/>
      <c r="N19" s="45"/>
    </row>
    <row r="20" spans="1:14">
      <c r="A20" s="43">
        <v>46014</v>
      </c>
      <c r="B20" t="s">
        <v>9</v>
      </c>
      <c r="C20" t="s">
        <v>10</v>
      </c>
      <c r="D20">
        <v>1363</v>
      </c>
      <c r="E20">
        <v>340</v>
      </c>
      <c r="F20" cm="1">
        <f t="array" ref="F20">_xlfn.IFS(B20="tt",D20/100*7*3900/1000,B20="order",D20/1000)</f>
        <v>372.099</v>
      </c>
      <c r="G20" s="44" cm="1">
        <f t="array" ref="G20">_xlfn.IFS(B20="tt",E20/100*7*3900/1000,B20="order",E20/1000)</f>
        <v>92.82</v>
      </c>
      <c r="H20" t="str">
        <f t="shared" si="0"/>
        <v>202512</v>
      </c>
      <c r="K20" t="s">
        <v>13</v>
      </c>
      <c r="L20" s="45"/>
      <c r="M20" s="45">
        <v>21165</v>
      </c>
      <c r="N20" s="45">
        <v>4487</v>
      </c>
    </row>
    <row r="21" spans="1:14">
      <c r="A21" s="43">
        <v>46015</v>
      </c>
      <c r="B21" t="s">
        <v>9</v>
      </c>
      <c r="C21" t="s">
        <v>10</v>
      </c>
      <c r="D21">
        <v>2299</v>
      </c>
      <c r="E21">
        <v>574</v>
      </c>
      <c r="F21" cm="1">
        <f t="array" ref="F21">_xlfn.IFS(B21="tt",D21/100*7*3900/1000,B21="order",D21/1000)</f>
        <v>627.627</v>
      </c>
      <c r="G21" s="44" cm="1">
        <f t="array" ref="G21">_xlfn.IFS(B21="tt",E21/100*7*3900/1000,B21="order",E21/1000)</f>
        <v>156.702</v>
      </c>
      <c r="H21" t="str">
        <f t="shared" si="0"/>
        <v>202512</v>
      </c>
      <c r="K21" t="s">
        <v>14</v>
      </c>
      <c r="L21" s="45"/>
      <c r="M21" s="45">
        <v>154339</v>
      </c>
      <c r="N21" s="45">
        <v>138652</v>
      </c>
    </row>
    <row r="22" spans="1:14">
      <c r="A22" s="43">
        <v>46016</v>
      </c>
      <c r="B22" t="s">
        <v>9</v>
      </c>
      <c r="C22" t="s">
        <v>10</v>
      </c>
      <c r="D22">
        <v>1396</v>
      </c>
      <c r="E22">
        <v>349</v>
      </c>
      <c r="F22" cm="1">
        <f t="array" ref="F22">_xlfn.IFS(B22="tt",D22/100*7*3900/1000,B22="order",D22/1000)</f>
        <v>381.108</v>
      </c>
      <c r="G22" s="44" cm="1">
        <f t="array" ref="G22">_xlfn.IFS(B22="tt",E22/100*7*3900/1000,B22="order",E22/1000)</f>
        <v>95.277</v>
      </c>
      <c r="H22" t="str">
        <f t="shared" si="0"/>
        <v>202512</v>
      </c>
      <c r="K22" t="s">
        <v>15</v>
      </c>
      <c r="L22" s="45"/>
      <c r="M22" s="45">
        <v>165282</v>
      </c>
      <c r="N22" s="45">
        <v>142451</v>
      </c>
    </row>
    <row r="23" spans="1:14">
      <c r="A23" s="43">
        <v>46017</v>
      </c>
      <c r="B23" t="s">
        <v>9</v>
      </c>
      <c r="C23" t="s">
        <v>10</v>
      </c>
      <c r="D23">
        <v>2766</v>
      </c>
      <c r="E23">
        <v>691</v>
      </c>
      <c r="F23" cm="1">
        <f t="array" ref="F23">_xlfn.IFS(B23="tt",D23/100*7*3900/1000,B23="order",D23/1000)</f>
        <v>755.118</v>
      </c>
      <c r="G23" s="44" cm="1">
        <f t="array" ref="G23">_xlfn.IFS(B23="tt",E23/100*7*3900/1000,B23="order",E23/1000)</f>
        <v>188.643</v>
      </c>
      <c r="H23" t="str">
        <f t="shared" si="0"/>
        <v>202512</v>
      </c>
      <c r="K23" t="s">
        <v>16</v>
      </c>
      <c r="L23" s="45">
        <v>0</v>
      </c>
      <c r="M23" s="45">
        <v>59571</v>
      </c>
      <c r="N23" s="45">
        <v>58635</v>
      </c>
    </row>
    <row r="24" spans="1:14">
      <c r="A24" s="43">
        <v>46018</v>
      </c>
      <c r="B24" t="s">
        <v>9</v>
      </c>
      <c r="C24" t="s">
        <v>10</v>
      </c>
      <c r="D24">
        <v>1385</v>
      </c>
      <c r="E24">
        <v>346</v>
      </c>
      <c r="F24" cm="1">
        <f t="array" ref="F24">_xlfn.IFS(B24="tt",D24/100*7*3900/1000,B24="order",D24/1000)</f>
        <v>378.105</v>
      </c>
      <c r="G24" s="44" cm="1">
        <f t="array" ref="G24">_xlfn.IFS(B24="tt",E24/100*7*3900/1000,B24="order",E24/1000)</f>
        <v>94.458</v>
      </c>
      <c r="H24" t="str">
        <f t="shared" si="0"/>
        <v>202512</v>
      </c>
    </row>
    <row r="25" spans="1:14">
      <c r="A25" s="43">
        <v>46019</v>
      </c>
      <c r="B25" t="s">
        <v>9</v>
      </c>
      <c r="C25" t="s">
        <v>10</v>
      </c>
      <c r="D25">
        <v>1747</v>
      </c>
      <c r="E25">
        <v>436</v>
      </c>
      <c r="F25" cm="1">
        <f t="array" ref="F25">_xlfn.IFS(B25="tt",D25/100*7*3900/1000,B25="order",D25/1000)</f>
        <v>476.931</v>
      </c>
      <c r="G25" s="44" cm="1">
        <f t="array" ref="G25">_xlfn.IFS(B25="tt",E25/100*7*3900/1000,B25="order",E25/1000)</f>
        <v>119.028</v>
      </c>
      <c r="H25" t="str">
        <f t="shared" si="0"/>
        <v>202512</v>
      </c>
    </row>
    <row r="26" spans="1:14">
      <c r="A26" s="43">
        <v>46021</v>
      </c>
      <c r="B26" t="s">
        <v>9</v>
      </c>
      <c r="C26" t="s">
        <v>10</v>
      </c>
      <c r="D26">
        <v>1472</v>
      </c>
      <c r="E26">
        <v>368</v>
      </c>
      <c r="F26" cm="1">
        <f t="array" ref="F26">_xlfn.IFS(B26="tt",D26/100*7*3900/1000,B26="order",D26/1000)</f>
        <v>401.856</v>
      </c>
      <c r="G26" s="44" cm="1">
        <f t="array" ref="G26">_xlfn.IFS(B26="tt",E26/100*7*3900/1000,B26="order",E26/1000)</f>
        <v>100.464</v>
      </c>
      <c r="H26" t="str">
        <f t="shared" si="0"/>
        <v>202512</v>
      </c>
    </row>
    <row r="27" spans="1:14">
      <c r="A27" s="43">
        <v>46023</v>
      </c>
      <c r="B27" t="s">
        <v>9</v>
      </c>
      <c r="C27" t="s">
        <v>10</v>
      </c>
      <c r="D27">
        <v>5507</v>
      </c>
      <c r="E27">
        <v>1376</v>
      </c>
      <c r="F27" cm="1">
        <f t="array" ref="F27">_xlfn.IFS(B27="tt",D27/100*7*3900/1000,B27="order",D27/1000)</f>
        <v>1503.411</v>
      </c>
      <c r="G27" s="44" cm="1">
        <f t="array" ref="G27">_xlfn.IFS(B27="tt",E27/100*7*3900/1000,B27="order",E27/1000)</f>
        <v>375.648</v>
      </c>
      <c r="H27" t="str">
        <f t="shared" si="0"/>
        <v>202601</v>
      </c>
    </row>
    <row r="28" spans="1:14">
      <c r="A28" s="43">
        <v>46024</v>
      </c>
      <c r="B28" t="s">
        <v>9</v>
      </c>
      <c r="C28" t="s">
        <v>10</v>
      </c>
      <c r="D28">
        <v>1271</v>
      </c>
      <c r="E28">
        <v>317</v>
      </c>
      <c r="F28" cm="1">
        <f t="array" ref="F28">_xlfn.IFS(B28="tt",D28/100*7*3900/1000,B28="order",D28/1000)</f>
        <v>346.983</v>
      </c>
      <c r="G28" s="44" cm="1">
        <f t="array" ref="G28">_xlfn.IFS(B28="tt",E28/100*7*3900/1000,B28="order",E28/1000)</f>
        <v>86.541</v>
      </c>
      <c r="H28" t="str">
        <f t="shared" si="0"/>
        <v>202601</v>
      </c>
    </row>
    <row r="29" spans="1:14">
      <c r="A29" s="43">
        <v>46025</v>
      </c>
      <c r="B29" t="s">
        <v>9</v>
      </c>
      <c r="C29" t="s">
        <v>10</v>
      </c>
      <c r="D29">
        <v>927</v>
      </c>
      <c r="E29">
        <v>231</v>
      </c>
      <c r="F29" cm="1">
        <f t="array" ref="F29">_xlfn.IFS(B29="tt",D29/100*7*3900/1000,B29="order",D29/1000)</f>
        <v>253.071</v>
      </c>
      <c r="G29" s="44" cm="1">
        <f t="array" ref="G29">_xlfn.IFS(B29="tt",E29/100*7*3900/1000,B29="order",E29/1000)</f>
        <v>63.063</v>
      </c>
      <c r="H29" t="str">
        <f t="shared" si="0"/>
        <v>202601</v>
      </c>
    </row>
    <row r="30" spans="1:14">
      <c r="A30" s="43">
        <v>46026</v>
      </c>
      <c r="B30" t="s">
        <v>9</v>
      </c>
      <c r="C30" t="s">
        <v>10</v>
      </c>
      <c r="D30">
        <v>2450</v>
      </c>
      <c r="E30">
        <v>612</v>
      </c>
      <c r="F30" cm="1">
        <f t="array" ref="F30">_xlfn.IFS(B30="tt",D30/100*7*3900/1000,B30="order",D30/1000)</f>
        <v>668.85</v>
      </c>
      <c r="G30" s="44" cm="1">
        <f t="array" ref="G30">_xlfn.IFS(B30="tt",E30/100*7*3900/1000,B30="order",E30/1000)</f>
        <v>167.076</v>
      </c>
      <c r="H30" t="str">
        <f t="shared" si="0"/>
        <v>202601</v>
      </c>
    </row>
    <row r="31" spans="1:14">
      <c r="A31" s="43">
        <v>46028</v>
      </c>
      <c r="B31" t="s">
        <v>9</v>
      </c>
      <c r="C31" t="s">
        <v>10</v>
      </c>
      <c r="D31">
        <v>5364</v>
      </c>
      <c r="E31">
        <v>1341</v>
      </c>
      <c r="F31" cm="1">
        <f t="array" ref="F31">_xlfn.IFS(B31="tt",D31/100*7*3900/1000,B31="order",D31/1000)</f>
        <v>1464.372</v>
      </c>
      <c r="G31" s="44" cm="1">
        <f t="array" ref="G31">_xlfn.IFS(B31="tt",E31/100*7*3900/1000,B31="order",E31/1000)</f>
        <v>366.093</v>
      </c>
      <c r="H31" t="str">
        <f t="shared" si="0"/>
        <v>202601</v>
      </c>
    </row>
    <row r="32" spans="1:14">
      <c r="A32" s="43">
        <v>46029</v>
      </c>
      <c r="B32" t="s">
        <v>9</v>
      </c>
      <c r="C32" t="s">
        <v>10</v>
      </c>
      <c r="D32">
        <v>6319</v>
      </c>
      <c r="E32">
        <v>1579</v>
      </c>
      <c r="F32" cm="1">
        <f t="array" ref="F32">_xlfn.IFS(B32="tt",D32/100*7*3900/1000,B32="order",D32/1000)</f>
        <v>1725.087</v>
      </c>
      <c r="G32" s="44" cm="1">
        <f t="array" ref="G32">_xlfn.IFS(B32="tt",E32/100*7*3900/1000,B32="order",E32/1000)</f>
        <v>431.067</v>
      </c>
      <c r="H32" t="str">
        <f t="shared" si="0"/>
        <v>202601</v>
      </c>
    </row>
    <row r="33" spans="1:8">
      <c r="A33" s="43">
        <v>46030</v>
      </c>
      <c r="B33" t="s">
        <v>9</v>
      </c>
      <c r="C33" t="s">
        <v>10</v>
      </c>
      <c r="D33">
        <v>2475</v>
      </c>
      <c r="E33">
        <v>618</v>
      </c>
      <c r="F33" cm="1">
        <f t="array" ref="F33">_xlfn.IFS(B33="tt",D33/100*7*3900/1000,B33="order",D33/1000)</f>
        <v>675.675</v>
      </c>
      <c r="G33" s="44" cm="1">
        <f t="array" ref="G33">_xlfn.IFS(B33="tt",E33/100*7*3900/1000,B33="order",E33/1000)</f>
        <v>168.714</v>
      </c>
      <c r="H33" t="str">
        <f t="shared" si="0"/>
        <v>202601</v>
      </c>
    </row>
    <row r="34" spans="1:8">
      <c r="A34" s="43">
        <v>46031</v>
      </c>
      <c r="B34" t="s">
        <v>9</v>
      </c>
      <c r="C34" t="s">
        <v>10</v>
      </c>
      <c r="D34">
        <v>10475</v>
      </c>
      <c r="E34">
        <v>2618</v>
      </c>
      <c r="F34" cm="1">
        <f t="array" ref="F34">_xlfn.IFS(B34="tt",D34/100*7*3900/1000,B34="order",D34/1000)</f>
        <v>2859.675</v>
      </c>
      <c r="G34" s="44" cm="1">
        <f t="array" ref="G34">_xlfn.IFS(B34="tt",E34/100*7*3900/1000,B34="order",E34/1000)</f>
        <v>714.714</v>
      </c>
      <c r="H34" t="str">
        <f t="shared" si="0"/>
        <v>202601</v>
      </c>
    </row>
    <row r="35" spans="1:8">
      <c r="A35" s="43">
        <v>46032</v>
      </c>
      <c r="B35" t="s">
        <v>9</v>
      </c>
      <c r="C35" t="s">
        <v>10</v>
      </c>
      <c r="D35">
        <v>7052</v>
      </c>
      <c r="E35">
        <v>1763</v>
      </c>
      <c r="F35" cm="1">
        <f t="array" ref="F35">_xlfn.IFS(B35="tt",D35/100*7*3900/1000,B35="order",D35/1000)</f>
        <v>1925.196</v>
      </c>
      <c r="G35" s="44" cm="1">
        <f t="array" ref="G35">_xlfn.IFS(B35="tt",E35/100*7*3900/1000,B35="order",E35/1000)</f>
        <v>481.299</v>
      </c>
      <c r="H35" t="str">
        <f t="shared" si="0"/>
        <v>202601</v>
      </c>
    </row>
    <row r="36" spans="1:8">
      <c r="A36" s="43">
        <v>46035</v>
      </c>
      <c r="B36" t="s">
        <v>9</v>
      </c>
      <c r="C36" t="s">
        <v>10</v>
      </c>
      <c r="D36">
        <v>3936</v>
      </c>
      <c r="E36">
        <v>984</v>
      </c>
      <c r="F36" cm="1">
        <f t="array" ref="F36">_xlfn.IFS(B36="tt",D36/100*7*3900/1000,B36="order",D36/1000)</f>
        <v>1074.528</v>
      </c>
      <c r="G36" s="44" cm="1">
        <f t="array" ref="G36">_xlfn.IFS(B36="tt",E36/100*7*3900/1000,B36="order",E36/1000)</f>
        <v>268.632</v>
      </c>
      <c r="H36" t="str">
        <f t="shared" si="0"/>
        <v>202601</v>
      </c>
    </row>
    <row r="37" spans="1:8">
      <c r="A37" s="43">
        <v>46036</v>
      </c>
      <c r="B37" t="s">
        <v>9</v>
      </c>
      <c r="C37" t="s">
        <v>10</v>
      </c>
      <c r="D37">
        <v>4092</v>
      </c>
      <c r="E37">
        <v>1023</v>
      </c>
      <c r="F37" cm="1">
        <f t="array" ref="F37">_xlfn.IFS(B37="tt",D37/100*7*3900/1000,B37="order",D37/1000)</f>
        <v>1117.116</v>
      </c>
      <c r="G37" s="44" cm="1">
        <f t="array" ref="G37">_xlfn.IFS(B37="tt",E37/100*7*3900/1000,B37="order",E37/1000)</f>
        <v>279.279</v>
      </c>
      <c r="H37" t="str">
        <f t="shared" si="0"/>
        <v>202601</v>
      </c>
    </row>
    <row r="38" spans="1:8">
      <c r="A38" s="43">
        <v>46037</v>
      </c>
      <c r="B38" t="s">
        <v>9</v>
      </c>
      <c r="C38" t="s">
        <v>10</v>
      </c>
      <c r="D38">
        <v>5474</v>
      </c>
      <c r="E38">
        <v>1368</v>
      </c>
      <c r="F38" cm="1">
        <f t="array" ref="F38">_xlfn.IFS(B38="tt",D38/100*7*3900/1000,B38="order",D38/1000)</f>
        <v>1494.402</v>
      </c>
      <c r="G38" s="44" cm="1">
        <f t="array" ref="G38">_xlfn.IFS(B38="tt",E38/100*7*3900/1000,B38="order",E38/1000)</f>
        <v>373.464</v>
      </c>
      <c r="H38" t="str">
        <f t="shared" si="0"/>
        <v>202601</v>
      </c>
    </row>
    <row r="39" spans="1:8">
      <c r="A39" s="43">
        <v>46038</v>
      </c>
      <c r="B39" t="s">
        <v>9</v>
      </c>
      <c r="C39" t="s">
        <v>10</v>
      </c>
      <c r="D39">
        <v>3433</v>
      </c>
      <c r="E39">
        <v>858</v>
      </c>
      <c r="F39" cm="1">
        <f t="array" ref="F39">_xlfn.IFS(B39="tt",D39/100*7*3900/1000,B39="order",D39/1000)</f>
        <v>937.209</v>
      </c>
      <c r="G39" s="44" cm="1">
        <f t="array" ref="G39">_xlfn.IFS(B39="tt",E39/100*7*3900/1000,B39="order",E39/1000)</f>
        <v>234.234</v>
      </c>
      <c r="H39" t="str">
        <f t="shared" si="0"/>
        <v>202601</v>
      </c>
    </row>
    <row r="40" spans="1:8">
      <c r="A40" s="43">
        <v>46039</v>
      </c>
      <c r="B40" t="s">
        <v>9</v>
      </c>
      <c r="C40" t="s">
        <v>10</v>
      </c>
      <c r="D40">
        <v>5982</v>
      </c>
      <c r="E40">
        <v>1495</v>
      </c>
      <c r="F40" cm="1">
        <f t="array" ref="F40">_xlfn.IFS(B40="tt",D40/100*7*3900/1000,B40="order",D40/1000)</f>
        <v>1633.086</v>
      </c>
      <c r="G40" s="44" cm="1">
        <f t="array" ref="G40">_xlfn.IFS(B40="tt",E40/100*7*3900/1000,B40="order",E40/1000)</f>
        <v>408.135</v>
      </c>
      <c r="H40" t="str">
        <f t="shared" si="0"/>
        <v>202601</v>
      </c>
    </row>
    <row r="41" spans="1:8">
      <c r="A41" s="43">
        <v>46042</v>
      </c>
      <c r="B41" t="s">
        <v>9</v>
      </c>
      <c r="C41" t="s">
        <v>10</v>
      </c>
      <c r="D41">
        <v>4534</v>
      </c>
      <c r="E41">
        <v>1133</v>
      </c>
      <c r="F41" cm="1">
        <f t="array" ref="F41">_xlfn.IFS(B41="tt",D41/100*7*3900/1000,B41="order",D41/1000)</f>
        <v>1237.782</v>
      </c>
      <c r="G41" s="44" cm="1">
        <f t="array" ref="G41">_xlfn.IFS(B41="tt",E41/100*7*3900/1000,B41="order",E41/1000)</f>
        <v>309.309</v>
      </c>
      <c r="H41" t="str">
        <f t="shared" si="0"/>
        <v>202601</v>
      </c>
    </row>
    <row r="42" spans="1:8">
      <c r="A42" s="43">
        <v>46043</v>
      </c>
      <c r="B42" t="s">
        <v>9</v>
      </c>
      <c r="C42" t="s">
        <v>10</v>
      </c>
      <c r="D42">
        <v>7048</v>
      </c>
      <c r="E42">
        <v>1762</v>
      </c>
      <c r="F42" cm="1">
        <f t="array" ref="F42">_xlfn.IFS(B42="tt",D42/100*7*3900/1000,B42="order",D42/1000)</f>
        <v>1924.104</v>
      </c>
      <c r="G42" s="44" cm="1">
        <f t="array" ref="G42">_xlfn.IFS(B42="tt",E42/100*7*3900/1000,B42="order",E42/1000)</f>
        <v>481.026</v>
      </c>
      <c r="H42" t="str">
        <f t="shared" si="0"/>
        <v>202601</v>
      </c>
    </row>
    <row r="43" spans="1:8">
      <c r="A43" s="43">
        <v>46044</v>
      </c>
      <c r="B43" t="s">
        <v>9</v>
      </c>
      <c r="C43" t="s">
        <v>10</v>
      </c>
      <c r="D43">
        <v>2530</v>
      </c>
      <c r="E43">
        <v>632</v>
      </c>
      <c r="F43" cm="1">
        <f t="array" ref="F43">_xlfn.IFS(B43="tt",D43/100*7*3900/1000,B43="order",D43/1000)</f>
        <v>690.69</v>
      </c>
      <c r="G43" s="44" cm="1">
        <f t="array" ref="G43">_xlfn.IFS(B43="tt",E43/100*7*3900/1000,B43="order",E43/1000)</f>
        <v>172.536</v>
      </c>
      <c r="H43" t="str">
        <f t="shared" si="0"/>
        <v>202601</v>
      </c>
    </row>
    <row r="44" spans="1:8">
      <c r="A44" s="43">
        <v>46045</v>
      </c>
      <c r="B44" t="s">
        <v>9</v>
      </c>
      <c r="C44" t="s">
        <v>10</v>
      </c>
      <c r="D44">
        <v>7176</v>
      </c>
      <c r="E44">
        <v>1794</v>
      </c>
      <c r="F44" cm="1">
        <f t="array" ref="F44">_xlfn.IFS(B44="tt",D44/100*7*3900/1000,B44="order",D44/1000)</f>
        <v>1959.048</v>
      </c>
      <c r="G44" s="44" cm="1">
        <f t="array" ref="G44">_xlfn.IFS(B44="tt",E44/100*7*3900/1000,B44="order",E44/1000)</f>
        <v>489.762</v>
      </c>
      <c r="H44" t="str">
        <f t="shared" si="0"/>
        <v>202601</v>
      </c>
    </row>
    <row r="45" spans="1:8">
      <c r="A45" s="43">
        <v>46046</v>
      </c>
      <c r="B45" t="s">
        <v>9</v>
      </c>
      <c r="C45" t="s">
        <v>10</v>
      </c>
      <c r="D45">
        <v>10976</v>
      </c>
      <c r="E45">
        <v>2744</v>
      </c>
      <c r="F45" cm="1">
        <f t="array" ref="F45">_xlfn.IFS(B45="tt",D45/100*7*3900/1000,B45="order",D45/1000)</f>
        <v>2996.448</v>
      </c>
      <c r="G45" s="44" cm="1">
        <f t="array" ref="G45">_xlfn.IFS(B45="tt",E45/100*7*3900/1000,B45="order",E45/1000)</f>
        <v>749.112</v>
      </c>
      <c r="H45" t="str">
        <f t="shared" si="0"/>
        <v>202601</v>
      </c>
    </row>
    <row r="46" spans="1:8">
      <c r="A46" s="43">
        <v>46049</v>
      </c>
      <c r="B46" t="s">
        <v>9</v>
      </c>
      <c r="C46" t="s">
        <v>10</v>
      </c>
      <c r="D46">
        <v>5086</v>
      </c>
      <c r="E46">
        <v>1271</v>
      </c>
      <c r="F46" cm="1">
        <f t="array" ref="F46">_xlfn.IFS(B46="tt",D46/100*7*3900/1000,B46="order",D46/1000)</f>
        <v>1388.478</v>
      </c>
      <c r="G46" s="44" cm="1">
        <f t="array" ref="G46">_xlfn.IFS(B46="tt",E46/100*7*3900/1000,B46="order",E46/1000)</f>
        <v>346.983</v>
      </c>
      <c r="H46" t="str">
        <f t="shared" si="0"/>
        <v>202601</v>
      </c>
    </row>
    <row r="47" spans="1:8">
      <c r="A47" s="43">
        <v>46050</v>
      </c>
      <c r="B47" t="s">
        <v>9</v>
      </c>
      <c r="C47" t="s">
        <v>10</v>
      </c>
      <c r="D47">
        <v>1557</v>
      </c>
      <c r="E47">
        <v>389</v>
      </c>
      <c r="F47" cm="1">
        <f t="array" ref="F47">_xlfn.IFS(B47="tt",D47/100*7*3900/1000,B47="order",D47/1000)</f>
        <v>425.061</v>
      </c>
      <c r="G47" s="44" cm="1">
        <f t="array" ref="G47">_xlfn.IFS(B47="tt",E47/100*7*3900/1000,B47="order",E47/1000)</f>
        <v>106.197</v>
      </c>
      <c r="H47" t="str">
        <f t="shared" si="0"/>
        <v>202601</v>
      </c>
    </row>
    <row r="48" spans="1:8">
      <c r="A48" s="43">
        <v>46052</v>
      </c>
      <c r="B48" t="s">
        <v>9</v>
      </c>
      <c r="C48" t="s">
        <v>10</v>
      </c>
      <c r="D48">
        <v>12194</v>
      </c>
      <c r="E48">
        <v>3048</v>
      </c>
      <c r="F48" cm="1">
        <f t="array" ref="F48">_xlfn.IFS(B48="tt",D48/100*7*3900/1000,B48="order",D48/1000)</f>
        <v>3328.962</v>
      </c>
      <c r="G48" s="44" cm="1">
        <f t="array" ref="G48">_xlfn.IFS(B48="tt",E48/100*7*3900/1000,B48="order",E48/1000)</f>
        <v>832.104</v>
      </c>
      <c r="H48" t="str">
        <f t="shared" si="0"/>
        <v>202601</v>
      </c>
    </row>
    <row r="49" spans="1:8">
      <c r="A49" s="43">
        <v>46053</v>
      </c>
      <c r="B49" t="s">
        <v>9</v>
      </c>
      <c r="C49" t="s">
        <v>10</v>
      </c>
      <c r="D49">
        <v>4091</v>
      </c>
      <c r="E49">
        <v>1022</v>
      </c>
      <c r="F49" cm="1">
        <f t="array" ref="F49">_xlfn.IFS(B49="tt",D49/100*7*3900/1000,B49="order",D49/1000)</f>
        <v>1116.843</v>
      </c>
      <c r="G49" s="44" cm="1">
        <f t="array" ref="G49">_xlfn.IFS(B49="tt",E49/100*7*3900/1000,B49="order",E49/1000)</f>
        <v>279.006</v>
      </c>
      <c r="H49" t="str">
        <f t="shared" si="0"/>
        <v>202601</v>
      </c>
    </row>
    <row r="50" spans="1:8">
      <c r="A50" s="43">
        <v>46054</v>
      </c>
      <c r="B50" t="s">
        <v>9</v>
      </c>
      <c r="C50" t="s">
        <v>10</v>
      </c>
      <c r="D50">
        <v>1988</v>
      </c>
      <c r="E50">
        <v>497</v>
      </c>
      <c r="F50" cm="1">
        <f t="array" ref="F50">_xlfn.IFS(B50="tt",D50/100*7*3900/1000,B50="order",D50/1000)</f>
        <v>542.724</v>
      </c>
      <c r="G50" s="44" cm="1">
        <f t="array" ref="G50">_xlfn.IFS(B50="tt",E50/100*7*3900/1000,B50="order",E50/1000)</f>
        <v>135.681</v>
      </c>
      <c r="H50" t="str">
        <f t="shared" si="0"/>
        <v>202602</v>
      </c>
    </row>
    <row r="51" spans="1:8">
      <c r="A51" s="43">
        <v>46056</v>
      </c>
      <c r="B51" t="s">
        <v>9</v>
      </c>
      <c r="C51" t="s">
        <v>10</v>
      </c>
      <c r="D51">
        <v>3701</v>
      </c>
      <c r="E51">
        <v>925</v>
      </c>
      <c r="F51" cm="1">
        <f t="array" ref="F51">_xlfn.IFS(B51="tt",D51/100*7*3900/1000,B51="order",D51/1000)</f>
        <v>1010.373</v>
      </c>
      <c r="G51" s="44" cm="1">
        <f t="array" ref="G51">_xlfn.IFS(B51="tt",E51/100*7*3900/1000,B51="order",E51/1000)</f>
        <v>252.525</v>
      </c>
      <c r="H51" t="str">
        <f t="shared" si="0"/>
        <v>202602</v>
      </c>
    </row>
    <row r="52" spans="1:8">
      <c r="A52" s="43">
        <v>46057</v>
      </c>
      <c r="B52" t="s">
        <v>9</v>
      </c>
      <c r="C52" t="s">
        <v>10</v>
      </c>
      <c r="D52">
        <v>7801</v>
      </c>
      <c r="E52">
        <v>1950</v>
      </c>
      <c r="F52" cm="1">
        <f t="array" ref="F52">_xlfn.IFS(B52="tt",D52/100*7*3900/1000,B52="order",D52/1000)</f>
        <v>2129.673</v>
      </c>
      <c r="G52" s="44" cm="1">
        <f t="array" ref="G52">_xlfn.IFS(B52="tt",E52/100*7*3900/1000,B52="order",E52/1000)</f>
        <v>532.35</v>
      </c>
      <c r="H52" t="str">
        <f t="shared" si="0"/>
        <v>202602</v>
      </c>
    </row>
    <row r="53" spans="1:8">
      <c r="A53" s="43">
        <v>46058</v>
      </c>
      <c r="B53" t="s">
        <v>9</v>
      </c>
      <c r="C53" t="s">
        <v>10</v>
      </c>
      <c r="D53">
        <v>4969</v>
      </c>
      <c r="E53">
        <v>1242</v>
      </c>
      <c r="F53" cm="1">
        <f t="array" ref="F53">_xlfn.IFS(B53="tt",D53/100*7*3900/1000,B53="order",D53/1000)</f>
        <v>1356.537</v>
      </c>
      <c r="G53" s="44" cm="1">
        <f t="array" ref="G53">_xlfn.IFS(B53="tt",E53/100*7*3900/1000,B53="order",E53/1000)</f>
        <v>339.066</v>
      </c>
      <c r="H53" t="str">
        <f t="shared" si="0"/>
        <v>202602</v>
      </c>
    </row>
    <row r="54" spans="1:8">
      <c r="A54" s="43">
        <v>46059</v>
      </c>
      <c r="B54" t="s">
        <v>9</v>
      </c>
      <c r="C54" t="s">
        <v>10</v>
      </c>
      <c r="D54">
        <v>5301</v>
      </c>
      <c r="E54">
        <v>1325</v>
      </c>
      <c r="F54" cm="1">
        <f t="array" ref="F54">_xlfn.IFS(B54="tt",D54/100*7*3900/1000,B54="order",D54/1000)</f>
        <v>1447.173</v>
      </c>
      <c r="G54" s="44" cm="1">
        <f t="array" ref="G54">_xlfn.IFS(B54="tt",E54/100*7*3900/1000,B54="order",E54/1000)</f>
        <v>361.725</v>
      </c>
      <c r="H54" t="str">
        <f t="shared" si="0"/>
        <v>202602</v>
      </c>
    </row>
    <row r="55" spans="1:8">
      <c r="A55" s="43">
        <v>46060</v>
      </c>
      <c r="B55" t="s">
        <v>9</v>
      </c>
      <c r="C55" t="s">
        <v>10</v>
      </c>
      <c r="D55">
        <v>2480</v>
      </c>
      <c r="E55">
        <v>620</v>
      </c>
      <c r="F55" cm="1">
        <f t="array" ref="F55">_xlfn.IFS(B55="tt",D55/100*7*3900/1000,B55="order",D55/1000)</f>
        <v>677.04</v>
      </c>
      <c r="G55" s="44" cm="1">
        <f t="array" ref="G55">_xlfn.IFS(B55="tt",E55/100*7*3900/1000,B55="order",E55/1000)</f>
        <v>169.26</v>
      </c>
      <c r="H55" t="str">
        <f t="shared" si="0"/>
        <v>202602</v>
      </c>
    </row>
    <row r="56" spans="1:8">
      <c r="A56" s="43">
        <v>46061</v>
      </c>
      <c r="B56" t="s">
        <v>9</v>
      </c>
      <c r="C56" t="s">
        <v>10</v>
      </c>
      <c r="D56">
        <v>2100</v>
      </c>
      <c r="E56">
        <v>525</v>
      </c>
      <c r="F56" cm="1">
        <f t="array" ref="F56">_xlfn.IFS(B56="tt",D56/100*7*3900/1000,B56="order",D56/1000)</f>
        <v>573.3</v>
      </c>
      <c r="G56" s="44" cm="1">
        <f t="array" ref="G56">_xlfn.IFS(B56="tt",E56/100*7*3900/1000,B56="order",E56/1000)</f>
        <v>143.325</v>
      </c>
      <c r="H56" t="str">
        <f t="shared" si="0"/>
        <v>202602</v>
      </c>
    </row>
    <row r="57" spans="1:8">
      <c r="A57" s="43">
        <v>46063</v>
      </c>
      <c r="B57" t="s">
        <v>9</v>
      </c>
      <c r="C57" t="s">
        <v>10</v>
      </c>
      <c r="D57">
        <v>11108</v>
      </c>
      <c r="E57">
        <v>2777</v>
      </c>
      <c r="F57" cm="1">
        <f t="array" ref="F57">_xlfn.IFS(B57="tt",D57/100*7*3900/1000,B57="order",D57/1000)</f>
        <v>3032.484</v>
      </c>
      <c r="G57" s="44" cm="1">
        <f t="array" ref="G57">_xlfn.IFS(B57="tt",E57/100*7*3900/1000,B57="order",E57/1000)</f>
        <v>758.121</v>
      </c>
      <c r="H57" t="str">
        <f t="shared" si="0"/>
        <v>202602</v>
      </c>
    </row>
    <row r="58" spans="1:8">
      <c r="A58" s="43">
        <v>46064</v>
      </c>
      <c r="B58" t="s">
        <v>9</v>
      </c>
      <c r="C58" t="s">
        <v>10</v>
      </c>
      <c r="D58">
        <v>6081</v>
      </c>
      <c r="E58">
        <v>1520</v>
      </c>
      <c r="F58" cm="1">
        <f t="array" ref="F58">_xlfn.IFS(B58="tt",D58/100*7*3900/1000,B58="order",D58/1000)</f>
        <v>1660.113</v>
      </c>
      <c r="G58" s="44" cm="1">
        <f t="array" ref="G58">_xlfn.IFS(B58="tt",E58/100*7*3900/1000,B58="order",E58/1000)</f>
        <v>414.96</v>
      </c>
      <c r="H58" t="str">
        <f t="shared" si="0"/>
        <v>202602</v>
      </c>
    </row>
    <row r="59" spans="1:8">
      <c r="A59" s="43">
        <v>46065</v>
      </c>
      <c r="B59" t="s">
        <v>9</v>
      </c>
      <c r="C59" t="s">
        <v>10</v>
      </c>
      <c r="D59">
        <v>4267</v>
      </c>
      <c r="E59">
        <v>1066</v>
      </c>
      <c r="F59" cm="1">
        <f t="array" ref="F59">_xlfn.IFS(B59="tt",D59/100*7*3900/1000,B59="order",D59/1000)</f>
        <v>1164.891</v>
      </c>
      <c r="G59" s="44" cm="1">
        <f t="array" ref="G59">_xlfn.IFS(B59="tt",E59/100*7*3900/1000,B59="order",E59/1000)</f>
        <v>291.018</v>
      </c>
      <c r="H59" t="str">
        <f t="shared" si="0"/>
        <v>202602</v>
      </c>
    </row>
    <row r="60" spans="1:8">
      <c r="A60" s="43">
        <v>46070</v>
      </c>
      <c r="B60" t="s">
        <v>9</v>
      </c>
      <c r="C60" t="s">
        <v>10</v>
      </c>
      <c r="D60">
        <v>2407</v>
      </c>
      <c r="E60">
        <v>601</v>
      </c>
      <c r="F60" cm="1">
        <f t="array" ref="F60">_xlfn.IFS(B60="tt",D60/100*7*3900/1000,B60="order",D60/1000)</f>
        <v>657.111</v>
      </c>
      <c r="G60" s="44" cm="1">
        <f t="array" ref="G60">_xlfn.IFS(B60="tt",E60/100*7*3900/1000,B60="order",E60/1000)</f>
        <v>164.073</v>
      </c>
      <c r="H60" t="str">
        <f t="shared" si="0"/>
        <v>202602</v>
      </c>
    </row>
    <row r="61" spans="1:8">
      <c r="A61" s="43">
        <v>46072</v>
      </c>
      <c r="B61" t="s">
        <v>9</v>
      </c>
      <c r="C61" t="s">
        <v>10</v>
      </c>
      <c r="D61">
        <v>8159</v>
      </c>
      <c r="E61">
        <v>2039</v>
      </c>
      <c r="F61" cm="1">
        <f t="array" ref="F61">_xlfn.IFS(B61="tt",D61/100*7*3900/1000,B61="order",D61/1000)</f>
        <v>2227.407</v>
      </c>
      <c r="G61" s="44" cm="1">
        <f t="array" ref="G61">_xlfn.IFS(B61="tt",E61/100*7*3900/1000,B61="order",E61/1000)</f>
        <v>556.647</v>
      </c>
      <c r="H61" t="str">
        <f t="shared" si="0"/>
        <v>202602</v>
      </c>
    </row>
    <row r="62" spans="1:8">
      <c r="A62" s="43">
        <v>46075</v>
      </c>
      <c r="B62" t="s">
        <v>9</v>
      </c>
      <c r="C62" t="s">
        <v>10</v>
      </c>
      <c r="D62">
        <v>4188</v>
      </c>
      <c r="E62">
        <v>1047</v>
      </c>
      <c r="F62" cm="1">
        <f t="array" ref="F62">_xlfn.IFS(B62="tt",D62/100*7*3900/1000,B62="order",D62/1000)</f>
        <v>1143.324</v>
      </c>
      <c r="G62" s="44" cm="1">
        <f t="array" ref="G62">_xlfn.IFS(B62="tt",E62/100*7*3900/1000,B62="order",E62/1000)</f>
        <v>285.831</v>
      </c>
      <c r="H62" t="str">
        <f t="shared" si="0"/>
        <v>202602</v>
      </c>
    </row>
    <row r="63" spans="1:8">
      <c r="A63" s="43">
        <v>46076</v>
      </c>
      <c r="B63" t="s">
        <v>9</v>
      </c>
      <c r="C63" t="s">
        <v>10</v>
      </c>
      <c r="D63">
        <v>4278</v>
      </c>
      <c r="E63">
        <v>1069</v>
      </c>
      <c r="F63" cm="1">
        <f t="array" ref="F63">_xlfn.IFS(B63="tt",D63/100*7*3900/1000,B63="order",D63/1000)</f>
        <v>1167.894</v>
      </c>
      <c r="G63" s="44" cm="1">
        <f t="array" ref="G63">_xlfn.IFS(B63="tt",E63/100*7*3900/1000,B63="order",E63/1000)</f>
        <v>291.837</v>
      </c>
      <c r="H63" t="str">
        <f t="shared" si="0"/>
        <v>202602</v>
      </c>
    </row>
    <row r="64" spans="1:8">
      <c r="A64" s="43">
        <v>46077</v>
      </c>
      <c r="B64" t="s">
        <v>9</v>
      </c>
      <c r="C64" t="s">
        <v>10</v>
      </c>
      <c r="D64">
        <v>5024</v>
      </c>
      <c r="E64">
        <v>1256</v>
      </c>
      <c r="F64" cm="1">
        <f t="array" ref="F64">_xlfn.IFS(B64="tt",D64/100*7*3900/1000,B64="order",D64/1000)</f>
        <v>1371.552</v>
      </c>
      <c r="G64" s="44" cm="1">
        <f t="array" ref="G64">_xlfn.IFS(B64="tt",E64/100*7*3900/1000,B64="order",E64/1000)</f>
        <v>342.888</v>
      </c>
      <c r="H64" t="str">
        <f t="shared" si="0"/>
        <v>202602</v>
      </c>
    </row>
    <row r="65" spans="1:8">
      <c r="A65" s="43">
        <v>46078</v>
      </c>
      <c r="B65" t="s">
        <v>9</v>
      </c>
      <c r="C65" t="s">
        <v>10</v>
      </c>
      <c r="D65">
        <v>4155</v>
      </c>
      <c r="E65">
        <v>1038</v>
      </c>
      <c r="F65" cm="1">
        <f t="array" ref="F65">_xlfn.IFS(B65="tt",D65/100*7*3900/1000,B65="order",D65/1000)</f>
        <v>1134.315</v>
      </c>
      <c r="G65" s="44" cm="1">
        <f t="array" ref="G65">_xlfn.IFS(B65="tt",E65/100*7*3900/1000,B65="order",E65/1000)</f>
        <v>283.374</v>
      </c>
      <c r="H65" t="str">
        <f t="shared" si="0"/>
        <v>202602</v>
      </c>
    </row>
    <row r="66" spans="1:8">
      <c r="A66" s="43">
        <v>46079</v>
      </c>
      <c r="B66" t="s">
        <v>9</v>
      </c>
      <c r="C66" t="s">
        <v>10</v>
      </c>
      <c r="D66">
        <v>3154</v>
      </c>
      <c r="E66">
        <v>788</v>
      </c>
      <c r="F66" cm="1">
        <f t="array" ref="F66">_xlfn.IFS(B66="tt",D66/100*7*3900/1000,B66="order",D66/1000)</f>
        <v>861.042</v>
      </c>
      <c r="G66" s="44" cm="1">
        <f t="array" ref="G66">_xlfn.IFS(B66="tt",E66/100*7*3900/1000,B66="order",E66/1000)</f>
        <v>215.124</v>
      </c>
      <c r="H66" t="str">
        <f t="shared" si="0"/>
        <v>202602</v>
      </c>
    </row>
    <row r="67" spans="1:8">
      <c r="A67" s="43">
        <v>46080</v>
      </c>
      <c r="B67" t="s">
        <v>9</v>
      </c>
      <c r="C67" t="s">
        <v>10</v>
      </c>
      <c r="D67">
        <v>3753</v>
      </c>
      <c r="E67">
        <v>938</v>
      </c>
      <c r="F67" cm="1">
        <f t="array" ref="F67">_xlfn.IFS(B67="tt",D67/100*7*3900/1000,B67="order",D67/1000)</f>
        <v>1024.569</v>
      </c>
      <c r="G67" s="44" cm="1">
        <f t="array" ref="G67">_xlfn.IFS(B67="tt",E67/100*7*3900/1000,B67="order",E67/1000)</f>
        <v>256.074</v>
      </c>
      <c r="H67" t="str">
        <f t="shared" ref="H67:H130" si="1">YEAR(A67)&amp;RIGHT("0"&amp;MONTH(A67),2)</f>
        <v>202602</v>
      </c>
    </row>
    <row r="68" spans="1:8">
      <c r="A68" s="43">
        <v>46081</v>
      </c>
      <c r="B68" t="s">
        <v>9</v>
      </c>
      <c r="C68" t="s">
        <v>10</v>
      </c>
      <c r="D68">
        <v>6685</v>
      </c>
      <c r="E68">
        <v>1671</v>
      </c>
      <c r="F68" cm="1">
        <f t="array" ref="F68">_xlfn.IFS(B68="tt",D68/100*7*3900/1000,B68="order",D68/1000)</f>
        <v>1825.005</v>
      </c>
      <c r="G68" s="44" cm="1">
        <f t="array" ref="G68">_xlfn.IFS(B68="tt",E68/100*7*3900/1000,B68="order",E68/1000)</f>
        <v>456.183</v>
      </c>
      <c r="H68" t="str">
        <f t="shared" si="1"/>
        <v>202602</v>
      </c>
    </row>
    <row r="69" spans="1:8">
      <c r="A69" s="43">
        <v>46082</v>
      </c>
      <c r="B69" t="s">
        <v>9</v>
      </c>
      <c r="C69" t="s">
        <v>10</v>
      </c>
      <c r="D69">
        <v>9856</v>
      </c>
      <c r="E69">
        <v>2464</v>
      </c>
      <c r="F69" cm="1">
        <f t="array" ref="F69">_xlfn.IFS(B69="tt",D69/100*7*3900/1000,B69="order",D69/1000)</f>
        <v>2690.688</v>
      </c>
      <c r="G69" s="44" cm="1">
        <f t="array" ref="G69">_xlfn.IFS(B69="tt",E69/100*7*3900/1000,B69="order",E69/1000)</f>
        <v>672.672</v>
      </c>
      <c r="H69" t="str">
        <f t="shared" si="1"/>
        <v>202603</v>
      </c>
    </row>
    <row r="70" spans="1:8">
      <c r="A70" s="43">
        <v>46087</v>
      </c>
      <c r="B70" t="s">
        <v>9</v>
      </c>
      <c r="C70" t="s">
        <v>10</v>
      </c>
      <c r="D70">
        <v>6168</v>
      </c>
      <c r="E70">
        <v>1542</v>
      </c>
      <c r="F70" cm="1">
        <f t="array" ref="F70">_xlfn.IFS(B70="tt",D70/100*7*3900/1000,B70="order",D70/1000)</f>
        <v>1683.864</v>
      </c>
      <c r="G70" s="44" cm="1">
        <f t="array" ref="G70">_xlfn.IFS(B70="tt",E70/100*7*3900/1000,B70="order",E70/1000)</f>
        <v>420.966</v>
      </c>
      <c r="H70" t="str">
        <f t="shared" si="1"/>
        <v>202603</v>
      </c>
    </row>
    <row r="71" spans="1:8">
      <c r="A71" s="43">
        <v>46088</v>
      </c>
      <c r="B71" t="s">
        <v>9</v>
      </c>
      <c r="C71" t="s">
        <v>10</v>
      </c>
      <c r="D71">
        <v>5110</v>
      </c>
      <c r="E71">
        <v>1277</v>
      </c>
      <c r="F71" cm="1">
        <f t="array" ref="F71">_xlfn.IFS(B71="tt",D71/100*7*3900/1000,B71="order",D71/1000)</f>
        <v>1395.03</v>
      </c>
      <c r="G71" s="44" cm="1">
        <f t="array" ref="G71">_xlfn.IFS(B71="tt",E71/100*7*3900/1000,B71="order",E71/1000)</f>
        <v>348.621</v>
      </c>
      <c r="H71" t="str">
        <f t="shared" si="1"/>
        <v>202603</v>
      </c>
    </row>
    <row r="72" spans="1:8">
      <c r="A72" s="43">
        <v>46089</v>
      </c>
      <c r="B72" t="s">
        <v>9</v>
      </c>
      <c r="C72" t="s">
        <v>10</v>
      </c>
      <c r="D72">
        <v>5926</v>
      </c>
      <c r="E72">
        <v>1481</v>
      </c>
      <c r="F72" cm="1">
        <f t="array" ref="F72">_xlfn.IFS(B72="tt",D72/100*7*3900/1000,B72="order",D72/1000)</f>
        <v>1617.798</v>
      </c>
      <c r="G72" s="44" cm="1">
        <f t="array" ref="G72">_xlfn.IFS(B72="tt",E72/100*7*3900/1000,B72="order",E72/1000)</f>
        <v>404.313</v>
      </c>
      <c r="H72" t="str">
        <f t="shared" si="1"/>
        <v>202603</v>
      </c>
    </row>
    <row r="73" spans="1:8">
      <c r="A73" s="43">
        <v>46091</v>
      </c>
      <c r="B73" t="s">
        <v>9</v>
      </c>
      <c r="C73" t="s">
        <v>10</v>
      </c>
      <c r="D73">
        <v>3942</v>
      </c>
      <c r="E73">
        <v>985</v>
      </c>
      <c r="F73" cm="1">
        <f t="array" ref="F73">_xlfn.IFS(B73="tt",D73/100*7*3900/1000,B73="order",D73/1000)</f>
        <v>1076.166</v>
      </c>
      <c r="G73" s="44" cm="1">
        <f t="array" ref="G73">_xlfn.IFS(B73="tt",E73/100*7*3900/1000,B73="order",E73/1000)</f>
        <v>268.905</v>
      </c>
      <c r="H73" t="str">
        <f t="shared" si="1"/>
        <v>202603</v>
      </c>
    </row>
    <row r="74" spans="1:8">
      <c r="A74" s="43">
        <v>46092</v>
      </c>
      <c r="B74" t="s">
        <v>9</v>
      </c>
      <c r="C74" t="s">
        <v>10</v>
      </c>
      <c r="D74">
        <v>2596</v>
      </c>
      <c r="E74">
        <v>649</v>
      </c>
      <c r="F74" cm="1">
        <f t="array" ref="F74">_xlfn.IFS(B74="tt",D74/100*7*3900/1000,B74="order",D74/1000)</f>
        <v>708.708</v>
      </c>
      <c r="G74" s="44" cm="1">
        <f t="array" ref="G74">_xlfn.IFS(B74="tt",E74/100*7*3900/1000,B74="order",E74/1000)</f>
        <v>177.177</v>
      </c>
      <c r="H74" t="str">
        <f t="shared" si="1"/>
        <v>202603</v>
      </c>
    </row>
    <row r="75" spans="1:8">
      <c r="A75" s="43">
        <v>46093</v>
      </c>
      <c r="B75" t="s">
        <v>9</v>
      </c>
      <c r="C75" t="s">
        <v>10</v>
      </c>
      <c r="D75">
        <v>1494</v>
      </c>
      <c r="E75">
        <v>373</v>
      </c>
      <c r="F75" cm="1">
        <f t="array" ref="F75">_xlfn.IFS(B75="tt",D75/100*7*3900/1000,B75="order",D75/1000)</f>
        <v>407.862</v>
      </c>
      <c r="G75" s="44" cm="1">
        <f t="array" ref="G75">_xlfn.IFS(B75="tt",E75/100*7*3900/1000,B75="order",E75/1000)</f>
        <v>101.829</v>
      </c>
      <c r="H75" t="str">
        <f t="shared" si="1"/>
        <v>202603</v>
      </c>
    </row>
    <row r="76" spans="1:8">
      <c r="A76" s="43">
        <v>46094</v>
      </c>
      <c r="B76" t="s">
        <v>9</v>
      </c>
      <c r="C76" t="s">
        <v>10</v>
      </c>
      <c r="D76">
        <v>1593</v>
      </c>
      <c r="E76">
        <v>398</v>
      </c>
      <c r="F76" cm="1">
        <f t="array" ref="F76">_xlfn.IFS(B76="tt",D76/100*7*3900/1000,B76="order",D76/1000)</f>
        <v>434.889</v>
      </c>
      <c r="G76" s="44" cm="1">
        <f t="array" ref="G76">_xlfn.IFS(B76="tt",E76/100*7*3900/1000,B76="order",E76/1000)</f>
        <v>108.654</v>
      </c>
      <c r="H76" t="str">
        <f t="shared" si="1"/>
        <v>202603</v>
      </c>
    </row>
    <row r="77" spans="1:8">
      <c r="A77" s="43">
        <v>46095</v>
      </c>
      <c r="B77" t="s">
        <v>9</v>
      </c>
      <c r="C77" t="s">
        <v>10</v>
      </c>
      <c r="D77">
        <v>1716</v>
      </c>
      <c r="E77">
        <v>429</v>
      </c>
      <c r="F77" cm="1">
        <f t="array" ref="F77">_xlfn.IFS(B77="tt",D77/100*7*3900/1000,B77="order",D77/1000)</f>
        <v>468.468</v>
      </c>
      <c r="G77" s="44" cm="1">
        <f t="array" ref="G77">_xlfn.IFS(B77="tt",E77/100*7*3900/1000,B77="order",E77/1000)</f>
        <v>117.117</v>
      </c>
      <c r="H77" t="str">
        <f t="shared" si="1"/>
        <v>202603</v>
      </c>
    </row>
    <row r="78" spans="1:8">
      <c r="A78" s="43">
        <v>46096</v>
      </c>
      <c r="B78" t="s">
        <v>9</v>
      </c>
      <c r="C78" t="s">
        <v>10</v>
      </c>
      <c r="D78">
        <v>4644</v>
      </c>
      <c r="E78">
        <v>1161</v>
      </c>
      <c r="F78" cm="1">
        <f t="array" ref="F78">_xlfn.IFS(B78="tt",D78/100*7*3900/1000,B78="order",D78/1000)</f>
        <v>1267.812</v>
      </c>
      <c r="G78" s="44" cm="1">
        <f t="array" ref="G78">_xlfn.IFS(B78="tt",E78/100*7*3900/1000,B78="order",E78/1000)</f>
        <v>316.953</v>
      </c>
      <c r="H78" t="str">
        <f t="shared" si="1"/>
        <v>202603</v>
      </c>
    </row>
    <row r="79" spans="1:8">
      <c r="A79" s="43">
        <v>46100</v>
      </c>
      <c r="B79" t="s">
        <v>9</v>
      </c>
      <c r="C79" t="s">
        <v>10</v>
      </c>
      <c r="D79">
        <v>2764</v>
      </c>
      <c r="E79">
        <v>691</v>
      </c>
      <c r="F79" cm="1">
        <f t="array" ref="F79">_xlfn.IFS(B79="tt",D79/100*7*3900/1000,B79="order",D79/1000)</f>
        <v>754.572</v>
      </c>
      <c r="G79" s="44" cm="1">
        <f t="array" ref="G79">_xlfn.IFS(B79="tt",E79/100*7*3900/1000,B79="order",E79/1000)</f>
        <v>188.643</v>
      </c>
      <c r="H79" t="str">
        <f t="shared" si="1"/>
        <v>202603</v>
      </c>
    </row>
    <row r="80" spans="1:8">
      <c r="A80" s="43">
        <v>46102</v>
      </c>
      <c r="B80" t="s">
        <v>9</v>
      </c>
      <c r="C80" t="s">
        <v>10</v>
      </c>
      <c r="D80">
        <v>2115</v>
      </c>
      <c r="E80">
        <v>528</v>
      </c>
      <c r="F80" cm="1">
        <f t="array" ref="F80">_xlfn.IFS(B80="tt",D80/100*7*3900/1000,B80="order",D80/1000)</f>
        <v>577.395</v>
      </c>
      <c r="G80" s="44" cm="1">
        <f t="array" ref="G80">_xlfn.IFS(B80="tt",E80/100*7*3900/1000,B80="order",E80/1000)</f>
        <v>144.144</v>
      </c>
      <c r="H80" t="str">
        <f t="shared" si="1"/>
        <v>202603</v>
      </c>
    </row>
    <row r="81" spans="1:8">
      <c r="A81" s="43">
        <v>46103</v>
      </c>
      <c r="B81" t="s">
        <v>9</v>
      </c>
      <c r="C81" t="s">
        <v>10</v>
      </c>
      <c r="D81">
        <v>1474</v>
      </c>
      <c r="E81">
        <v>368</v>
      </c>
      <c r="F81" cm="1">
        <f t="array" ref="F81">_xlfn.IFS(B81="tt",D81/100*7*3900/1000,B81="order",D81/1000)</f>
        <v>402.402</v>
      </c>
      <c r="G81" s="44" cm="1">
        <f t="array" ref="G81">_xlfn.IFS(B81="tt",E81/100*7*3900/1000,B81="order",E81/1000)</f>
        <v>100.464</v>
      </c>
      <c r="H81" t="str">
        <f t="shared" si="1"/>
        <v>202603</v>
      </c>
    </row>
    <row r="82" spans="1:8">
      <c r="A82" s="43">
        <v>46105</v>
      </c>
      <c r="B82" t="s">
        <v>9</v>
      </c>
      <c r="C82" t="s">
        <v>10</v>
      </c>
      <c r="D82">
        <v>3446</v>
      </c>
      <c r="E82">
        <v>861</v>
      </c>
      <c r="F82" cm="1">
        <f t="array" ref="F82">_xlfn.IFS(B82="tt",D82/100*7*3900/1000,B82="order",D82/1000)</f>
        <v>940.758</v>
      </c>
      <c r="G82" s="44" cm="1">
        <f t="array" ref="G82">_xlfn.IFS(B82="tt",E82/100*7*3900/1000,B82="order",E82/1000)</f>
        <v>235.053</v>
      </c>
      <c r="H82" t="str">
        <f t="shared" si="1"/>
        <v>202603</v>
      </c>
    </row>
    <row r="83" spans="1:8">
      <c r="A83" s="43">
        <v>46106</v>
      </c>
      <c r="B83" t="s">
        <v>9</v>
      </c>
      <c r="C83" t="s">
        <v>10</v>
      </c>
      <c r="D83">
        <v>3396</v>
      </c>
      <c r="E83">
        <v>849</v>
      </c>
      <c r="F83" cm="1">
        <f t="array" ref="F83">_xlfn.IFS(B83="tt",D83/100*7*3900/1000,B83="order",D83/1000)</f>
        <v>927.108</v>
      </c>
      <c r="G83" s="44" cm="1">
        <f t="array" ref="G83">_xlfn.IFS(B83="tt",E83/100*7*3900/1000,B83="order",E83/1000)</f>
        <v>231.777</v>
      </c>
      <c r="H83" t="str">
        <f t="shared" si="1"/>
        <v>202603</v>
      </c>
    </row>
    <row r="84" spans="1:8">
      <c r="A84" s="43">
        <v>46108</v>
      </c>
      <c r="B84" t="s">
        <v>9</v>
      </c>
      <c r="C84" t="s">
        <v>10</v>
      </c>
      <c r="D84">
        <v>1442</v>
      </c>
      <c r="E84">
        <v>360</v>
      </c>
      <c r="F84" cm="1">
        <f t="array" ref="F84">_xlfn.IFS(B84="tt",D84/100*7*3900/1000,B84="order",D84/1000)</f>
        <v>393.666</v>
      </c>
      <c r="G84" s="44" cm="1">
        <f t="array" ref="G84">_xlfn.IFS(B84="tt",E84/100*7*3900/1000,B84="order",E84/1000)</f>
        <v>98.28</v>
      </c>
      <c r="H84" t="str">
        <f t="shared" si="1"/>
        <v>202603</v>
      </c>
    </row>
    <row r="85" spans="1:8">
      <c r="A85" s="43">
        <v>46109</v>
      </c>
      <c r="B85" t="s">
        <v>9</v>
      </c>
      <c r="C85" t="s">
        <v>10</v>
      </c>
      <c r="D85">
        <v>954</v>
      </c>
      <c r="E85">
        <v>238</v>
      </c>
      <c r="F85" cm="1">
        <f t="array" ref="F85">_xlfn.IFS(B85="tt",D85/100*7*3900/1000,B85="order",D85/1000)</f>
        <v>260.442</v>
      </c>
      <c r="G85" s="44" cm="1">
        <f t="array" ref="G85">_xlfn.IFS(B85="tt",E85/100*7*3900/1000,B85="order",E85/1000)</f>
        <v>64.974</v>
      </c>
      <c r="H85" t="str">
        <f t="shared" si="1"/>
        <v>202603</v>
      </c>
    </row>
    <row r="86" spans="1:8">
      <c r="A86" s="43">
        <v>46110</v>
      </c>
      <c r="B86" t="s">
        <v>9</v>
      </c>
      <c r="C86" t="s">
        <v>10</v>
      </c>
      <c r="D86">
        <v>1185</v>
      </c>
      <c r="E86">
        <v>296</v>
      </c>
      <c r="F86" cm="1">
        <f t="array" ref="F86">_xlfn.IFS(B86="tt",D86/100*7*3900/1000,B86="order",D86/1000)</f>
        <v>323.505</v>
      </c>
      <c r="G86" s="44" cm="1">
        <f t="array" ref="G86">_xlfn.IFS(B86="tt",E86/100*7*3900/1000,B86="order",E86/1000)</f>
        <v>80.808</v>
      </c>
      <c r="H86" t="str">
        <f t="shared" si="1"/>
        <v>202603</v>
      </c>
    </row>
    <row r="87" spans="1:8">
      <c r="A87" s="43">
        <v>46112</v>
      </c>
      <c r="B87" t="s">
        <v>9</v>
      </c>
      <c r="C87" t="s">
        <v>10</v>
      </c>
      <c r="D87">
        <v>429</v>
      </c>
      <c r="E87">
        <v>107</v>
      </c>
      <c r="F87" cm="1">
        <f t="array" ref="F87">_xlfn.IFS(B87="tt",D87/100*7*3900/1000,B87="order",D87/1000)</f>
        <v>117.117</v>
      </c>
      <c r="G87" s="44" cm="1">
        <f t="array" ref="G87">_xlfn.IFS(B87="tt",E87/100*7*3900/1000,B87="order",E87/1000)</f>
        <v>29.211</v>
      </c>
      <c r="H87" t="str">
        <f t="shared" si="1"/>
        <v>202603</v>
      </c>
    </row>
    <row r="88" spans="1:8">
      <c r="A88" s="43">
        <v>46113</v>
      </c>
      <c r="B88" t="s">
        <v>9</v>
      </c>
      <c r="C88" t="s">
        <v>10</v>
      </c>
      <c r="D88">
        <v>3753</v>
      </c>
      <c r="E88">
        <v>938</v>
      </c>
      <c r="F88" cm="1">
        <f t="array" ref="F88">_xlfn.IFS(B88="tt",D88/100*7*3900/1000,B88="order",D88/1000)</f>
        <v>1024.569</v>
      </c>
      <c r="G88" s="44" cm="1">
        <f t="array" ref="G88">_xlfn.IFS(B88="tt",E88/100*7*3900/1000,B88="order",E88/1000)</f>
        <v>256.074</v>
      </c>
      <c r="H88" t="str">
        <f t="shared" si="1"/>
        <v>202604</v>
      </c>
    </row>
    <row r="89" spans="1:8">
      <c r="A89" s="43">
        <v>46114</v>
      </c>
      <c r="B89" t="s">
        <v>9</v>
      </c>
      <c r="C89" t="s">
        <v>10</v>
      </c>
      <c r="D89">
        <v>1258</v>
      </c>
      <c r="E89">
        <v>314</v>
      </c>
      <c r="F89" cm="1">
        <f t="array" ref="F89">_xlfn.IFS(B89="tt",D89/100*7*3900/1000,B89="order",D89/1000)</f>
        <v>343.434</v>
      </c>
      <c r="G89" s="44" cm="1">
        <f t="array" ref="G89">_xlfn.IFS(B89="tt",E89/100*7*3900/1000,B89="order",E89/1000)</f>
        <v>85.722</v>
      </c>
      <c r="H89" t="str">
        <f t="shared" si="1"/>
        <v>202604</v>
      </c>
    </row>
    <row r="90" spans="1:8">
      <c r="A90" s="43">
        <v>46116</v>
      </c>
      <c r="B90" t="s">
        <v>9</v>
      </c>
      <c r="C90" t="s">
        <v>10</v>
      </c>
      <c r="D90">
        <v>1468</v>
      </c>
      <c r="E90">
        <v>367</v>
      </c>
      <c r="F90" cm="1">
        <f t="array" ref="F90">_xlfn.IFS(B90="tt",D90/100*7*3900/1000,B90="order",D90/1000)</f>
        <v>400.764</v>
      </c>
      <c r="G90" s="44" cm="1">
        <f t="array" ref="G90">_xlfn.IFS(B90="tt",E90/100*7*3900/1000,B90="order",E90/1000)</f>
        <v>100.191</v>
      </c>
      <c r="H90" t="str">
        <f t="shared" si="1"/>
        <v>202604</v>
      </c>
    </row>
    <row r="91" spans="1:8">
      <c r="A91" s="43">
        <v>46117</v>
      </c>
      <c r="B91" t="s">
        <v>9</v>
      </c>
      <c r="C91" t="s">
        <v>10</v>
      </c>
      <c r="D91">
        <v>2623</v>
      </c>
      <c r="E91">
        <v>655</v>
      </c>
      <c r="F91" cm="1">
        <f t="array" ref="F91">_xlfn.IFS(B91="tt",D91/100*7*3900/1000,B91="order",D91/1000)</f>
        <v>716.079</v>
      </c>
      <c r="G91" s="44" cm="1">
        <f t="array" ref="G91">_xlfn.IFS(B91="tt",E91/100*7*3900/1000,B91="order",E91/1000)</f>
        <v>178.815</v>
      </c>
      <c r="H91" t="str">
        <f t="shared" si="1"/>
        <v>202604</v>
      </c>
    </row>
    <row r="92" spans="1:8">
      <c r="A92" s="43">
        <v>46119</v>
      </c>
      <c r="B92" t="s">
        <v>9</v>
      </c>
      <c r="C92" t="s">
        <v>10</v>
      </c>
      <c r="D92">
        <v>1701</v>
      </c>
      <c r="E92">
        <v>425</v>
      </c>
      <c r="F92" cm="1">
        <f t="array" ref="F92">_xlfn.IFS(B92="tt",D92/100*7*3900/1000,B92="order",D92/1000)</f>
        <v>464.373</v>
      </c>
      <c r="G92" s="44" cm="1">
        <f t="array" ref="G92">_xlfn.IFS(B92="tt",E92/100*7*3900/1000,B92="order",E92/1000)</f>
        <v>116.025</v>
      </c>
      <c r="H92" t="str">
        <f t="shared" si="1"/>
        <v>202604</v>
      </c>
    </row>
    <row r="93" spans="1:8">
      <c r="A93" s="43">
        <v>46120</v>
      </c>
      <c r="B93" t="s">
        <v>9</v>
      </c>
      <c r="C93" t="s">
        <v>10</v>
      </c>
      <c r="D93">
        <v>2249</v>
      </c>
      <c r="E93">
        <v>562</v>
      </c>
      <c r="F93" cm="1">
        <f t="array" ref="F93">_xlfn.IFS(B93="tt",D93/100*7*3900/1000,B93="order",D93/1000)</f>
        <v>613.977</v>
      </c>
      <c r="G93" s="44" cm="1">
        <f t="array" ref="G93">_xlfn.IFS(B93="tt",E93/100*7*3900/1000,B93="order",E93/1000)</f>
        <v>153.426</v>
      </c>
      <c r="H93" t="str">
        <f t="shared" si="1"/>
        <v>202604</v>
      </c>
    </row>
    <row r="94" spans="1:8">
      <c r="A94" s="43">
        <v>46121</v>
      </c>
      <c r="B94" t="s">
        <v>9</v>
      </c>
      <c r="C94" t="s">
        <v>10</v>
      </c>
      <c r="D94">
        <v>923</v>
      </c>
      <c r="E94">
        <v>230</v>
      </c>
      <c r="F94" cm="1">
        <f t="array" ref="F94">_xlfn.IFS(B94="tt",D94/100*7*3900/1000,B94="order",D94/1000)</f>
        <v>251.979</v>
      </c>
      <c r="G94" s="44" cm="1">
        <f t="array" ref="G94">_xlfn.IFS(B94="tt",E94/100*7*3900/1000,B94="order",E94/1000)</f>
        <v>62.79</v>
      </c>
      <c r="H94" t="str">
        <f t="shared" si="1"/>
        <v>202604</v>
      </c>
    </row>
    <row r="95" spans="1:8">
      <c r="A95" s="43">
        <v>45992</v>
      </c>
      <c r="B95" t="s">
        <v>9</v>
      </c>
      <c r="C95" t="s">
        <v>11</v>
      </c>
      <c r="D95">
        <v>90</v>
      </c>
      <c r="E95">
        <v>22</v>
      </c>
      <c r="F95" cm="1">
        <f t="array" ref="F95">_xlfn.IFS(B95="tt",D95/100*7*3900/1000,B95="order",D95/1000)</f>
        <v>24.57</v>
      </c>
      <c r="G95" s="44" cm="1">
        <f t="array" ref="G95">_xlfn.IFS(B95="tt",E95/100*7*3900/1000,B95="order",E95/1000)</f>
        <v>6.006</v>
      </c>
      <c r="H95" t="str">
        <f t="shared" si="1"/>
        <v>202512</v>
      </c>
    </row>
    <row r="96" spans="1:8">
      <c r="A96" s="43">
        <v>45993</v>
      </c>
      <c r="B96" t="s">
        <v>9</v>
      </c>
      <c r="C96" t="s">
        <v>11</v>
      </c>
      <c r="D96">
        <v>17</v>
      </c>
      <c r="E96">
        <v>4</v>
      </c>
      <c r="F96" cm="1">
        <f t="array" ref="F96">_xlfn.IFS(B96="tt",D96/100*7*3900/1000,B96="order",D96/1000)</f>
        <v>4.641</v>
      </c>
      <c r="G96" s="44" cm="1">
        <f t="array" ref="G96">_xlfn.IFS(B96="tt",E96/100*7*3900/1000,B96="order",E96/1000)</f>
        <v>1.092</v>
      </c>
      <c r="H96" t="str">
        <f t="shared" si="1"/>
        <v>202512</v>
      </c>
    </row>
    <row r="97" spans="1:8">
      <c r="A97" s="43">
        <v>45994</v>
      </c>
      <c r="B97" t="s">
        <v>9</v>
      </c>
      <c r="C97" t="s">
        <v>11</v>
      </c>
      <c r="D97">
        <v>50</v>
      </c>
      <c r="E97">
        <v>12</v>
      </c>
      <c r="F97" cm="1">
        <f t="array" ref="F97">_xlfn.IFS(B97="tt",D97/100*7*3900/1000,B97="order",D97/1000)</f>
        <v>13.65</v>
      </c>
      <c r="G97" s="44" cm="1">
        <f t="array" ref="G97">_xlfn.IFS(B97="tt",E97/100*7*3900/1000,B97="order",E97/1000)</f>
        <v>3.276</v>
      </c>
      <c r="H97" t="str">
        <f t="shared" si="1"/>
        <v>202512</v>
      </c>
    </row>
    <row r="98" spans="1:8">
      <c r="A98" s="43">
        <v>45995</v>
      </c>
      <c r="B98" t="s">
        <v>9</v>
      </c>
      <c r="C98" t="s">
        <v>11</v>
      </c>
      <c r="D98">
        <v>23</v>
      </c>
      <c r="E98">
        <v>5</v>
      </c>
      <c r="F98" cm="1">
        <f t="array" ref="F98">_xlfn.IFS(B98="tt",D98/100*7*3900/1000,B98="order",D98/1000)</f>
        <v>6.279</v>
      </c>
      <c r="G98" s="44" cm="1">
        <f t="array" ref="G98">_xlfn.IFS(B98="tt",E98/100*7*3900/1000,B98="order",E98/1000)</f>
        <v>1.365</v>
      </c>
      <c r="H98" t="str">
        <f t="shared" si="1"/>
        <v>202512</v>
      </c>
    </row>
    <row r="99" spans="1:8">
      <c r="A99" s="43">
        <v>45996</v>
      </c>
      <c r="B99" t="s">
        <v>9</v>
      </c>
      <c r="C99" t="s">
        <v>11</v>
      </c>
      <c r="D99">
        <v>21</v>
      </c>
      <c r="E99">
        <v>5</v>
      </c>
      <c r="F99" cm="1">
        <f t="array" ref="F99">_xlfn.IFS(B99="tt",D99/100*7*3900/1000,B99="order",D99/1000)</f>
        <v>5.733</v>
      </c>
      <c r="G99" s="44" cm="1">
        <f t="array" ref="G99">_xlfn.IFS(B99="tt",E99/100*7*3900/1000,B99="order",E99/1000)</f>
        <v>1.365</v>
      </c>
      <c r="H99" t="str">
        <f t="shared" si="1"/>
        <v>202512</v>
      </c>
    </row>
    <row r="100" spans="1:8">
      <c r="A100" s="43">
        <v>45997</v>
      </c>
      <c r="B100" t="s">
        <v>9</v>
      </c>
      <c r="C100" t="s">
        <v>11</v>
      </c>
      <c r="D100">
        <v>1778</v>
      </c>
      <c r="E100">
        <v>444</v>
      </c>
      <c r="F100" cm="1">
        <f t="array" ref="F100">_xlfn.IFS(B100="tt",D100/100*7*3900/1000,B100="order",D100/1000)</f>
        <v>485.394</v>
      </c>
      <c r="G100" s="44" cm="1">
        <f t="array" ref="G100">_xlfn.IFS(B100="tt",E100/100*7*3900/1000,B100="order",E100/1000)</f>
        <v>121.212</v>
      </c>
      <c r="H100" t="str">
        <f t="shared" si="1"/>
        <v>202512</v>
      </c>
    </row>
    <row r="101" spans="1:8">
      <c r="A101" s="43">
        <v>45999</v>
      </c>
      <c r="B101" t="s">
        <v>9</v>
      </c>
      <c r="C101" t="s">
        <v>11</v>
      </c>
      <c r="D101">
        <v>156</v>
      </c>
      <c r="E101">
        <v>39</v>
      </c>
      <c r="F101" cm="1">
        <f t="array" ref="F101">_xlfn.IFS(B101="tt",D101/100*7*3900/1000,B101="order",D101/1000)</f>
        <v>42.588</v>
      </c>
      <c r="G101" s="44" cm="1">
        <f t="array" ref="G101">_xlfn.IFS(B101="tt",E101/100*7*3900/1000,B101="order",E101/1000)</f>
        <v>10.647</v>
      </c>
      <c r="H101" t="str">
        <f t="shared" si="1"/>
        <v>202512</v>
      </c>
    </row>
    <row r="102" spans="1:8">
      <c r="A102" s="43">
        <v>46000</v>
      </c>
      <c r="B102" t="s">
        <v>9</v>
      </c>
      <c r="C102" t="s">
        <v>11</v>
      </c>
      <c r="D102">
        <v>2369</v>
      </c>
      <c r="E102">
        <v>592</v>
      </c>
      <c r="F102" cm="1">
        <f t="array" ref="F102">_xlfn.IFS(B102="tt",D102/100*7*3900/1000,B102="order",D102/1000)</f>
        <v>646.737</v>
      </c>
      <c r="G102" s="44" cm="1">
        <f t="array" ref="G102">_xlfn.IFS(B102="tt",E102/100*7*3900/1000,B102="order",E102/1000)</f>
        <v>161.616</v>
      </c>
      <c r="H102" t="str">
        <f t="shared" si="1"/>
        <v>202512</v>
      </c>
    </row>
    <row r="103" spans="1:8">
      <c r="A103" s="43">
        <v>46001</v>
      </c>
      <c r="B103" t="s">
        <v>9</v>
      </c>
      <c r="C103" t="s">
        <v>11</v>
      </c>
      <c r="D103">
        <v>2006</v>
      </c>
      <c r="E103">
        <v>501</v>
      </c>
      <c r="F103" cm="1">
        <f t="array" ref="F103">_xlfn.IFS(B103="tt",D103/100*7*3900/1000,B103="order",D103/1000)</f>
        <v>547.638</v>
      </c>
      <c r="G103" s="44" cm="1">
        <f t="array" ref="G103">_xlfn.IFS(B103="tt",E103/100*7*3900/1000,B103="order",E103/1000)</f>
        <v>136.773</v>
      </c>
      <c r="H103" t="str">
        <f t="shared" si="1"/>
        <v>202512</v>
      </c>
    </row>
    <row r="104" spans="1:8">
      <c r="A104" s="43">
        <v>46002</v>
      </c>
      <c r="B104" t="s">
        <v>9</v>
      </c>
      <c r="C104" t="s">
        <v>11</v>
      </c>
      <c r="D104">
        <v>11186</v>
      </c>
      <c r="E104">
        <v>2796</v>
      </c>
      <c r="F104" cm="1">
        <f t="array" ref="F104">_xlfn.IFS(B104="tt",D104/100*7*3900/1000,B104="order",D104/1000)</f>
        <v>3053.778</v>
      </c>
      <c r="G104" s="44" cm="1">
        <f t="array" ref="G104">_xlfn.IFS(B104="tt",E104/100*7*3900/1000,B104="order",E104/1000)</f>
        <v>763.308</v>
      </c>
      <c r="H104" t="str">
        <f t="shared" si="1"/>
        <v>202512</v>
      </c>
    </row>
    <row r="105" spans="1:8">
      <c r="A105" s="43">
        <v>46004</v>
      </c>
      <c r="B105" t="s">
        <v>9</v>
      </c>
      <c r="C105" t="s">
        <v>11</v>
      </c>
      <c r="D105">
        <v>927</v>
      </c>
      <c r="E105">
        <v>231</v>
      </c>
      <c r="F105" cm="1">
        <f t="array" ref="F105">_xlfn.IFS(B105="tt",D105/100*7*3900/1000,B105="order",D105/1000)</f>
        <v>253.071</v>
      </c>
      <c r="G105" s="44" cm="1">
        <f t="array" ref="G105">_xlfn.IFS(B105="tt",E105/100*7*3900/1000,B105="order",E105/1000)</f>
        <v>63.063</v>
      </c>
      <c r="H105" t="str">
        <f t="shared" si="1"/>
        <v>202512</v>
      </c>
    </row>
    <row r="106" spans="1:8">
      <c r="A106" s="43">
        <v>46005</v>
      </c>
      <c r="B106" t="s">
        <v>9</v>
      </c>
      <c r="C106" t="s">
        <v>11</v>
      </c>
      <c r="D106">
        <v>6797</v>
      </c>
      <c r="E106">
        <v>1699</v>
      </c>
      <c r="F106" cm="1">
        <f t="array" ref="F106">_xlfn.IFS(B106="tt",D106/100*7*3900/1000,B106="order",D106/1000)</f>
        <v>1855.581</v>
      </c>
      <c r="G106" s="44" cm="1">
        <f t="array" ref="G106">_xlfn.IFS(B106="tt",E106/100*7*3900/1000,B106="order",E106/1000)</f>
        <v>463.827</v>
      </c>
      <c r="H106" t="str">
        <f t="shared" si="1"/>
        <v>202512</v>
      </c>
    </row>
    <row r="107" spans="1:8">
      <c r="A107" s="43">
        <v>46007</v>
      </c>
      <c r="B107" t="s">
        <v>9</v>
      </c>
      <c r="C107" t="s">
        <v>11</v>
      </c>
      <c r="D107">
        <v>1713</v>
      </c>
      <c r="E107">
        <v>428</v>
      </c>
      <c r="F107" cm="1">
        <f t="array" ref="F107">_xlfn.IFS(B107="tt",D107/100*7*3900/1000,B107="order",D107/1000)</f>
        <v>467.649</v>
      </c>
      <c r="G107" s="44" cm="1">
        <f t="array" ref="G107">_xlfn.IFS(B107="tt",E107/100*7*3900/1000,B107="order",E107/1000)</f>
        <v>116.844</v>
      </c>
      <c r="H107" t="str">
        <f t="shared" si="1"/>
        <v>202512</v>
      </c>
    </row>
    <row r="108" spans="1:8">
      <c r="A108" s="43">
        <v>46008</v>
      </c>
      <c r="B108" t="s">
        <v>9</v>
      </c>
      <c r="C108" t="s">
        <v>11</v>
      </c>
      <c r="D108">
        <v>919</v>
      </c>
      <c r="E108">
        <v>229</v>
      </c>
      <c r="F108" cm="1">
        <f t="array" ref="F108">_xlfn.IFS(B108="tt",D108/100*7*3900/1000,B108="order",D108/1000)</f>
        <v>250.887</v>
      </c>
      <c r="G108" s="44" cm="1">
        <f t="array" ref="G108">_xlfn.IFS(B108="tt",E108/100*7*3900/1000,B108="order",E108/1000)</f>
        <v>62.517</v>
      </c>
      <c r="H108" t="str">
        <f t="shared" si="1"/>
        <v>202512</v>
      </c>
    </row>
    <row r="109" spans="1:8">
      <c r="A109" s="43">
        <v>46009</v>
      </c>
      <c r="B109" t="s">
        <v>9</v>
      </c>
      <c r="C109" t="s">
        <v>11</v>
      </c>
      <c r="D109">
        <v>1197</v>
      </c>
      <c r="E109">
        <v>299</v>
      </c>
      <c r="F109" cm="1">
        <f t="array" ref="F109">_xlfn.IFS(B109="tt",D109/100*7*3900/1000,B109="order",D109/1000)</f>
        <v>326.781</v>
      </c>
      <c r="G109" s="44" cm="1">
        <f t="array" ref="G109">_xlfn.IFS(B109="tt",E109/100*7*3900/1000,B109="order",E109/1000)</f>
        <v>81.627</v>
      </c>
      <c r="H109" t="str">
        <f t="shared" si="1"/>
        <v>202512</v>
      </c>
    </row>
    <row r="110" spans="1:8">
      <c r="A110" s="43">
        <v>46010</v>
      </c>
      <c r="B110" t="s">
        <v>9</v>
      </c>
      <c r="C110" t="s">
        <v>11</v>
      </c>
      <c r="D110">
        <v>2349</v>
      </c>
      <c r="E110">
        <v>587</v>
      </c>
      <c r="F110" cm="1">
        <f t="array" ref="F110">_xlfn.IFS(B110="tt",D110/100*7*3900/1000,B110="order",D110/1000)</f>
        <v>641.277</v>
      </c>
      <c r="G110" s="44" cm="1">
        <f t="array" ref="G110">_xlfn.IFS(B110="tt",E110/100*7*3900/1000,B110="order",E110/1000)</f>
        <v>160.251</v>
      </c>
      <c r="H110" t="str">
        <f t="shared" si="1"/>
        <v>202512</v>
      </c>
    </row>
    <row r="111" spans="1:8">
      <c r="A111" s="43">
        <v>46011</v>
      </c>
      <c r="B111" t="s">
        <v>9</v>
      </c>
      <c r="C111" t="s">
        <v>11</v>
      </c>
      <c r="D111">
        <v>2178</v>
      </c>
      <c r="E111">
        <v>544</v>
      </c>
      <c r="F111" cm="1">
        <f t="array" ref="F111">_xlfn.IFS(B111="tt",D111/100*7*3900/1000,B111="order",D111/1000)</f>
        <v>594.594</v>
      </c>
      <c r="G111" s="44" cm="1">
        <f t="array" ref="G111">_xlfn.IFS(B111="tt",E111/100*7*3900/1000,B111="order",E111/1000)</f>
        <v>148.512</v>
      </c>
      <c r="H111" t="str">
        <f t="shared" si="1"/>
        <v>202512</v>
      </c>
    </row>
    <row r="112" spans="1:8">
      <c r="A112" s="43">
        <v>46014</v>
      </c>
      <c r="B112" t="s">
        <v>9</v>
      </c>
      <c r="C112" t="s">
        <v>11</v>
      </c>
      <c r="D112">
        <v>5755</v>
      </c>
      <c r="E112">
        <v>1438</v>
      </c>
      <c r="F112" cm="1">
        <f t="array" ref="F112">_xlfn.IFS(B112="tt",D112/100*7*3900/1000,B112="order",D112/1000)</f>
        <v>1571.115</v>
      </c>
      <c r="G112" s="44" cm="1">
        <f t="array" ref="G112">_xlfn.IFS(B112="tt",E112/100*7*3900/1000,B112="order",E112/1000)</f>
        <v>392.574</v>
      </c>
      <c r="H112" t="str">
        <f t="shared" si="1"/>
        <v>202512</v>
      </c>
    </row>
    <row r="113" spans="1:8">
      <c r="A113" s="43">
        <v>46015</v>
      </c>
      <c r="B113" t="s">
        <v>9</v>
      </c>
      <c r="C113" t="s">
        <v>11</v>
      </c>
      <c r="D113">
        <v>1789</v>
      </c>
      <c r="E113">
        <v>447</v>
      </c>
      <c r="F113" cm="1">
        <f t="array" ref="F113">_xlfn.IFS(B113="tt",D113/100*7*3900/1000,B113="order",D113/1000)</f>
        <v>488.397</v>
      </c>
      <c r="G113" s="44" cm="1">
        <f t="array" ref="G113">_xlfn.IFS(B113="tt",E113/100*7*3900/1000,B113="order",E113/1000)</f>
        <v>122.031</v>
      </c>
      <c r="H113" t="str">
        <f t="shared" si="1"/>
        <v>202512</v>
      </c>
    </row>
    <row r="114" spans="1:8">
      <c r="A114" s="43">
        <v>46016</v>
      </c>
      <c r="B114" t="s">
        <v>9</v>
      </c>
      <c r="C114" t="s">
        <v>11</v>
      </c>
      <c r="D114">
        <v>8086</v>
      </c>
      <c r="E114">
        <v>2021</v>
      </c>
      <c r="F114" cm="1">
        <f t="array" ref="F114">_xlfn.IFS(B114="tt",D114/100*7*3900/1000,B114="order",D114/1000)</f>
        <v>2207.478</v>
      </c>
      <c r="G114" s="44" cm="1">
        <f t="array" ref="G114">_xlfn.IFS(B114="tt",E114/100*7*3900/1000,B114="order",E114/1000)</f>
        <v>551.733</v>
      </c>
      <c r="H114" t="str">
        <f t="shared" si="1"/>
        <v>202512</v>
      </c>
    </row>
    <row r="115" spans="1:8">
      <c r="A115" s="43">
        <v>46017</v>
      </c>
      <c r="B115" t="s">
        <v>9</v>
      </c>
      <c r="C115" t="s">
        <v>11</v>
      </c>
      <c r="D115">
        <v>12109</v>
      </c>
      <c r="E115">
        <v>3027</v>
      </c>
      <c r="F115" cm="1">
        <f t="array" ref="F115">_xlfn.IFS(B115="tt",D115/100*7*3900/1000,B115="order",D115/1000)</f>
        <v>3305.757</v>
      </c>
      <c r="G115" s="44" cm="1">
        <f t="array" ref="G115">_xlfn.IFS(B115="tt",E115/100*7*3900/1000,B115="order",E115/1000)</f>
        <v>826.371</v>
      </c>
      <c r="H115" t="str">
        <f t="shared" si="1"/>
        <v>202512</v>
      </c>
    </row>
    <row r="116" spans="1:8">
      <c r="A116" s="43">
        <v>46018</v>
      </c>
      <c r="B116" t="s">
        <v>9</v>
      </c>
      <c r="C116" t="s">
        <v>11</v>
      </c>
      <c r="D116">
        <v>6618</v>
      </c>
      <c r="E116">
        <v>1654</v>
      </c>
      <c r="F116" cm="1">
        <f t="array" ref="F116">_xlfn.IFS(B116="tt",D116/100*7*3900/1000,B116="order",D116/1000)</f>
        <v>1806.714</v>
      </c>
      <c r="G116" s="44" cm="1">
        <f t="array" ref="G116">_xlfn.IFS(B116="tt",E116/100*7*3900/1000,B116="order",E116/1000)</f>
        <v>451.542</v>
      </c>
      <c r="H116" t="str">
        <f t="shared" si="1"/>
        <v>202512</v>
      </c>
    </row>
    <row r="117" spans="1:8">
      <c r="A117" s="43">
        <v>46019</v>
      </c>
      <c r="B117" t="s">
        <v>9</v>
      </c>
      <c r="C117" t="s">
        <v>11</v>
      </c>
      <c r="D117">
        <v>13106</v>
      </c>
      <c r="E117">
        <v>3276</v>
      </c>
      <c r="F117" cm="1">
        <f t="array" ref="F117">_xlfn.IFS(B117="tt",D117/100*7*3900/1000,B117="order",D117/1000)</f>
        <v>3577.938</v>
      </c>
      <c r="G117" s="44" cm="1">
        <f t="array" ref="G117">_xlfn.IFS(B117="tt",E117/100*7*3900/1000,B117="order",E117/1000)</f>
        <v>894.348</v>
      </c>
      <c r="H117" t="str">
        <f t="shared" si="1"/>
        <v>202512</v>
      </c>
    </row>
    <row r="118" spans="1:8">
      <c r="A118" s="43">
        <v>46021</v>
      </c>
      <c r="B118" t="s">
        <v>9</v>
      </c>
      <c r="C118" t="s">
        <v>11</v>
      </c>
      <c r="D118">
        <v>10834</v>
      </c>
      <c r="E118">
        <v>2708</v>
      </c>
      <c r="F118" cm="1">
        <f t="array" ref="F118">_xlfn.IFS(B118="tt",D118/100*7*3900/1000,B118="order",D118/1000)</f>
        <v>2957.682</v>
      </c>
      <c r="G118" s="44" cm="1">
        <f t="array" ref="G118">_xlfn.IFS(B118="tt",E118/100*7*3900/1000,B118="order",E118/1000)</f>
        <v>739.284</v>
      </c>
      <c r="H118" t="str">
        <f t="shared" si="1"/>
        <v>202512</v>
      </c>
    </row>
    <row r="119" spans="1:8">
      <c r="A119" s="43">
        <v>46022</v>
      </c>
      <c r="B119" t="s">
        <v>9</v>
      </c>
      <c r="C119" t="s">
        <v>11</v>
      </c>
      <c r="D119">
        <v>5817</v>
      </c>
      <c r="E119">
        <v>1454</v>
      </c>
      <c r="F119" cm="1">
        <f t="array" ref="F119">_xlfn.IFS(B119="tt",D119/100*7*3900/1000,B119="order",D119/1000)</f>
        <v>1588.041</v>
      </c>
      <c r="G119" s="44" cm="1">
        <f t="array" ref="G119">_xlfn.IFS(B119="tt",E119/100*7*3900/1000,B119="order",E119/1000)</f>
        <v>396.942</v>
      </c>
      <c r="H119" t="str">
        <f t="shared" si="1"/>
        <v>202512</v>
      </c>
    </row>
    <row r="120" spans="1:8">
      <c r="A120" s="43">
        <v>46023</v>
      </c>
      <c r="B120" t="s">
        <v>9</v>
      </c>
      <c r="C120" t="s">
        <v>11</v>
      </c>
      <c r="D120">
        <v>13095</v>
      </c>
      <c r="E120">
        <v>3273</v>
      </c>
      <c r="F120" cm="1">
        <f t="array" ref="F120">_xlfn.IFS(B120="tt",D120/100*7*3900/1000,B120="order",D120/1000)</f>
        <v>3574.935</v>
      </c>
      <c r="G120" s="44" cm="1">
        <f t="array" ref="G120">_xlfn.IFS(B120="tt",E120/100*7*3900/1000,B120="order",E120/1000)</f>
        <v>893.529</v>
      </c>
      <c r="H120" t="str">
        <f t="shared" si="1"/>
        <v>202601</v>
      </c>
    </row>
    <row r="121" spans="1:8">
      <c r="A121" s="43">
        <v>46024</v>
      </c>
      <c r="B121" t="s">
        <v>9</v>
      </c>
      <c r="C121" t="s">
        <v>11</v>
      </c>
      <c r="D121">
        <v>5423</v>
      </c>
      <c r="E121">
        <v>1355</v>
      </c>
      <c r="F121" cm="1">
        <f t="array" ref="F121">_xlfn.IFS(B121="tt",D121/100*7*3900/1000,B121="order",D121/1000)</f>
        <v>1480.479</v>
      </c>
      <c r="G121" s="44" cm="1">
        <f t="array" ref="G121">_xlfn.IFS(B121="tt",E121/100*7*3900/1000,B121="order",E121/1000)</f>
        <v>369.915</v>
      </c>
      <c r="H121" t="str">
        <f t="shared" si="1"/>
        <v>202601</v>
      </c>
    </row>
    <row r="122" spans="1:8">
      <c r="A122" s="43">
        <v>46025</v>
      </c>
      <c r="B122" t="s">
        <v>9</v>
      </c>
      <c r="C122" t="s">
        <v>11</v>
      </c>
      <c r="D122">
        <v>8088</v>
      </c>
      <c r="E122">
        <v>2022</v>
      </c>
      <c r="F122" cm="1">
        <f t="array" ref="F122">_xlfn.IFS(B122="tt",D122/100*7*3900/1000,B122="order",D122/1000)</f>
        <v>2208.024</v>
      </c>
      <c r="G122" s="44" cm="1">
        <f t="array" ref="G122">_xlfn.IFS(B122="tt",E122/100*7*3900/1000,B122="order",E122/1000)</f>
        <v>552.006</v>
      </c>
      <c r="H122" t="str">
        <f t="shared" si="1"/>
        <v>202601</v>
      </c>
    </row>
    <row r="123" spans="1:8">
      <c r="A123" s="43">
        <v>46026</v>
      </c>
      <c r="B123" t="s">
        <v>9</v>
      </c>
      <c r="C123" t="s">
        <v>11</v>
      </c>
      <c r="D123">
        <v>4756</v>
      </c>
      <c r="E123">
        <v>1189</v>
      </c>
      <c r="F123" cm="1">
        <f t="array" ref="F123">_xlfn.IFS(B123="tt",D123/100*7*3900/1000,B123="order",D123/1000)</f>
        <v>1298.388</v>
      </c>
      <c r="G123" s="44" cm="1">
        <f t="array" ref="G123">_xlfn.IFS(B123="tt",E123/100*7*3900/1000,B123="order",E123/1000)</f>
        <v>324.597</v>
      </c>
      <c r="H123" t="str">
        <f t="shared" si="1"/>
        <v>202601</v>
      </c>
    </row>
    <row r="124" spans="1:8">
      <c r="A124" s="43">
        <v>46028</v>
      </c>
      <c r="B124" t="s">
        <v>9</v>
      </c>
      <c r="C124" t="s">
        <v>11</v>
      </c>
      <c r="D124">
        <v>4487</v>
      </c>
      <c r="E124">
        <v>1121</v>
      </c>
      <c r="F124" cm="1">
        <f t="array" ref="F124">_xlfn.IFS(B124="tt",D124/100*7*3900/1000,B124="order",D124/1000)</f>
        <v>1224.951</v>
      </c>
      <c r="G124" s="44" cm="1">
        <f t="array" ref="G124">_xlfn.IFS(B124="tt",E124/100*7*3900/1000,B124="order",E124/1000)</f>
        <v>306.033</v>
      </c>
      <c r="H124" t="str">
        <f t="shared" si="1"/>
        <v>202601</v>
      </c>
    </row>
    <row r="125" spans="1:8">
      <c r="A125" s="43">
        <v>46029</v>
      </c>
      <c r="B125" t="s">
        <v>9</v>
      </c>
      <c r="C125" t="s">
        <v>11</v>
      </c>
      <c r="D125">
        <v>6261</v>
      </c>
      <c r="E125">
        <v>1565</v>
      </c>
      <c r="F125" cm="1">
        <f t="array" ref="F125">_xlfn.IFS(B125="tt",D125/100*7*3900/1000,B125="order",D125/1000)</f>
        <v>1709.253</v>
      </c>
      <c r="G125" s="44" cm="1">
        <f t="array" ref="G125">_xlfn.IFS(B125="tt",E125/100*7*3900/1000,B125="order",E125/1000)</f>
        <v>427.245</v>
      </c>
      <c r="H125" t="str">
        <f t="shared" si="1"/>
        <v>202601</v>
      </c>
    </row>
    <row r="126" spans="1:8">
      <c r="A126" s="43">
        <v>46030</v>
      </c>
      <c r="B126" t="s">
        <v>9</v>
      </c>
      <c r="C126" t="s">
        <v>11</v>
      </c>
      <c r="D126">
        <v>9100</v>
      </c>
      <c r="E126">
        <v>2275</v>
      </c>
      <c r="F126" cm="1">
        <f t="array" ref="F126">_xlfn.IFS(B126="tt",D126/100*7*3900/1000,B126="order",D126/1000)</f>
        <v>2484.3</v>
      </c>
      <c r="G126" s="44" cm="1">
        <f t="array" ref="G126">_xlfn.IFS(B126="tt",E126/100*7*3900/1000,B126="order",E126/1000)</f>
        <v>621.075</v>
      </c>
      <c r="H126" t="str">
        <f t="shared" si="1"/>
        <v>202601</v>
      </c>
    </row>
    <row r="127" spans="1:8">
      <c r="A127" s="43">
        <v>46031</v>
      </c>
      <c r="B127" t="s">
        <v>9</v>
      </c>
      <c r="C127" t="s">
        <v>11</v>
      </c>
      <c r="D127">
        <v>4927</v>
      </c>
      <c r="E127">
        <v>1231</v>
      </c>
      <c r="F127" cm="1">
        <f t="array" ref="F127">_xlfn.IFS(B127="tt",D127/100*7*3900/1000,B127="order",D127/1000)</f>
        <v>1345.071</v>
      </c>
      <c r="G127" s="44" cm="1">
        <f t="array" ref="G127">_xlfn.IFS(B127="tt",E127/100*7*3900/1000,B127="order",E127/1000)</f>
        <v>336.063</v>
      </c>
      <c r="H127" t="str">
        <f t="shared" si="1"/>
        <v>202601</v>
      </c>
    </row>
    <row r="128" spans="1:8">
      <c r="A128" s="43">
        <v>46032</v>
      </c>
      <c r="B128" t="s">
        <v>9</v>
      </c>
      <c r="C128" t="s">
        <v>11</v>
      </c>
      <c r="D128">
        <v>12060</v>
      </c>
      <c r="E128">
        <v>3015</v>
      </c>
      <c r="F128" cm="1">
        <f t="array" ref="F128">_xlfn.IFS(B128="tt",D128/100*7*3900/1000,B128="order",D128/1000)</f>
        <v>3292.38</v>
      </c>
      <c r="G128" s="44" cm="1">
        <f t="array" ref="G128">_xlfn.IFS(B128="tt",E128/100*7*3900/1000,B128="order",E128/1000)</f>
        <v>823.095</v>
      </c>
      <c r="H128" t="str">
        <f t="shared" si="1"/>
        <v>202601</v>
      </c>
    </row>
    <row r="129" spans="1:8">
      <c r="A129" s="43">
        <v>46033</v>
      </c>
      <c r="B129" t="s">
        <v>9</v>
      </c>
      <c r="C129" t="s">
        <v>11</v>
      </c>
      <c r="D129">
        <v>15085</v>
      </c>
      <c r="E129">
        <v>3771</v>
      </c>
      <c r="F129" cm="1">
        <f t="array" ref="F129">_xlfn.IFS(B129="tt",D129/100*7*3900/1000,B129="order",D129/1000)</f>
        <v>4118.205</v>
      </c>
      <c r="G129" s="44" cm="1">
        <f t="array" ref="G129">_xlfn.IFS(B129="tt",E129/100*7*3900/1000,B129="order",E129/1000)</f>
        <v>1029.483</v>
      </c>
      <c r="H129" t="str">
        <f t="shared" si="1"/>
        <v>202601</v>
      </c>
    </row>
    <row r="130" spans="1:8">
      <c r="A130" s="43">
        <v>46035</v>
      </c>
      <c r="B130" t="s">
        <v>9</v>
      </c>
      <c r="C130" t="s">
        <v>11</v>
      </c>
      <c r="D130">
        <v>5129</v>
      </c>
      <c r="E130">
        <v>1282</v>
      </c>
      <c r="F130" cm="1">
        <f t="array" ref="F130">_xlfn.IFS(B130="tt",D130/100*7*3900/1000,B130="order",D130/1000)</f>
        <v>1400.217</v>
      </c>
      <c r="G130" s="44" cm="1">
        <f t="array" ref="G130">_xlfn.IFS(B130="tt",E130/100*7*3900/1000,B130="order",E130/1000)</f>
        <v>349.986</v>
      </c>
      <c r="H130" t="str">
        <f t="shared" si="1"/>
        <v>202601</v>
      </c>
    </row>
    <row r="131" spans="1:8">
      <c r="A131" s="43">
        <v>46036</v>
      </c>
      <c r="B131" t="s">
        <v>9</v>
      </c>
      <c r="C131" t="s">
        <v>11</v>
      </c>
      <c r="D131">
        <v>11615</v>
      </c>
      <c r="E131">
        <v>2903</v>
      </c>
      <c r="F131" cm="1">
        <f t="array" ref="F131">_xlfn.IFS(B131="tt",D131/100*7*3900/1000,B131="order",D131/1000)</f>
        <v>3170.895</v>
      </c>
      <c r="G131" s="44" cm="1">
        <f t="array" ref="G131">_xlfn.IFS(B131="tt",E131/100*7*3900/1000,B131="order",E131/1000)</f>
        <v>792.519</v>
      </c>
      <c r="H131" t="str">
        <f t="shared" ref="H131:H194" si="2">YEAR(A131)&amp;RIGHT("0"&amp;MONTH(A131),2)</f>
        <v>202601</v>
      </c>
    </row>
    <row r="132" spans="1:8">
      <c r="A132" s="43">
        <v>46037</v>
      </c>
      <c r="B132" t="s">
        <v>9</v>
      </c>
      <c r="C132" t="s">
        <v>11</v>
      </c>
      <c r="D132">
        <v>12385</v>
      </c>
      <c r="E132">
        <v>3096</v>
      </c>
      <c r="F132" cm="1">
        <f t="array" ref="F132">_xlfn.IFS(B132="tt",D132/100*7*3900/1000,B132="order",D132/1000)</f>
        <v>3381.105</v>
      </c>
      <c r="G132" s="44" cm="1">
        <f t="array" ref="G132">_xlfn.IFS(B132="tt",E132/100*7*3900/1000,B132="order",E132/1000)</f>
        <v>845.208</v>
      </c>
      <c r="H132" t="str">
        <f t="shared" si="2"/>
        <v>202601</v>
      </c>
    </row>
    <row r="133" spans="1:8">
      <c r="A133" s="43">
        <v>46038</v>
      </c>
      <c r="B133" t="s">
        <v>9</v>
      </c>
      <c r="C133" t="s">
        <v>11</v>
      </c>
      <c r="D133">
        <v>7580</v>
      </c>
      <c r="E133">
        <v>1895</v>
      </c>
      <c r="F133" cm="1">
        <f t="array" ref="F133">_xlfn.IFS(B133="tt",D133/100*7*3900/1000,B133="order",D133/1000)</f>
        <v>2069.34</v>
      </c>
      <c r="G133" s="44" cm="1">
        <f t="array" ref="G133">_xlfn.IFS(B133="tt",E133/100*7*3900/1000,B133="order",E133/1000)</f>
        <v>517.335</v>
      </c>
      <c r="H133" t="str">
        <f t="shared" si="2"/>
        <v>202601</v>
      </c>
    </row>
    <row r="134" spans="1:8">
      <c r="A134" s="43">
        <v>46039</v>
      </c>
      <c r="B134" t="s">
        <v>9</v>
      </c>
      <c r="C134" t="s">
        <v>11</v>
      </c>
      <c r="D134">
        <v>17087</v>
      </c>
      <c r="E134">
        <v>4271</v>
      </c>
      <c r="F134" cm="1">
        <f t="array" ref="F134">_xlfn.IFS(B134="tt",D134/100*7*3900/1000,B134="order",D134/1000)</f>
        <v>4664.751</v>
      </c>
      <c r="G134" s="44" cm="1">
        <f t="array" ref="G134">_xlfn.IFS(B134="tt",E134/100*7*3900/1000,B134="order",E134/1000)</f>
        <v>1165.983</v>
      </c>
      <c r="H134" t="str">
        <f t="shared" si="2"/>
        <v>202601</v>
      </c>
    </row>
    <row r="135" spans="1:8">
      <c r="A135" s="43">
        <v>46040</v>
      </c>
      <c r="B135" t="s">
        <v>9</v>
      </c>
      <c r="C135" t="s">
        <v>11</v>
      </c>
      <c r="D135">
        <v>6099</v>
      </c>
      <c r="E135">
        <v>1524</v>
      </c>
      <c r="F135" cm="1">
        <f t="array" ref="F135">_xlfn.IFS(B135="tt",D135/100*7*3900/1000,B135="order",D135/1000)</f>
        <v>1665.027</v>
      </c>
      <c r="G135" s="44" cm="1">
        <f t="array" ref="G135">_xlfn.IFS(B135="tt",E135/100*7*3900/1000,B135="order",E135/1000)</f>
        <v>416.052</v>
      </c>
      <c r="H135" t="str">
        <f t="shared" si="2"/>
        <v>202601</v>
      </c>
    </row>
    <row r="136" spans="1:8">
      <c r="A136" s="43">
        <v>46042</v>
      </c>
      <c r="B136" t="s">
        <v>9</v>
      </c>
      <c r="C136" t="s">
        <v>11</v>
      </c>
      <c r="D136">
        <v>20099</v>
      </c>
      <c r="E136">
        <v>5024</v>
      </c>
      <c r="F136" cm="1">
        <f t="array" ref="F136">_xlfn.IFS(B136="tt",D136/100*7*3900/1000,B136="order",D136/1000)</f>
        <v>5487.027</v>
      </c>
      <c r="G136" s="44" cm="1">
        <f t="array" ref="G136">_xlfn.IFS(B136="tt",E136/100*7*3900/1000,B136="order",E136/1000)</f>
        <v>1371.552</v>
      </c>
      <c r="H136" t="str">
        <f t="shared" si="2"/>
        <v>202601</v>
      </c>
    </row>
    <row r="137" spans="1:8">
      <c r="A137" s="43">
        <v>46043</v>
      </c>
      <c r="B137" t="s">
        <v>9</v>
      </c>
      <c r="C137" t="s">
        <v>11</v>
      </c>
      <c r="D137">
        <v>17463</v>
      </c>
      <c r="E137">
        <v>4365</v>
      </c>
      <c r="F137" cm="1">
        <f t="array" ref="F137">_xlfn.IFS(B137="tt",D137/100*7*3900/1000,B137="order",D137/1000)</f>
        <v>4767.399</v>
      </c>
      <c r="G137" s="44" cm="1">
        <f t="array" ref="G137">_xlfn.IFS(B137="tt",E137/100*7*3900/1000,B137="order",E137/1000)</f>
        <v>1191.645</v>
      </c>
      <c r="H137" t="str">
        <f t="shared" si="2"/>
        <v>202601</v>
      </c>
    </row>
    <row r="138" spans="1:8">
      <c r="A138" s="43">
        <v>46044</v>
      </c>
      <c r="B138" t="s">
        <v>9</v>
      </c>
      <c r="C138" t="s">
        <v>11</v>
      </c>
      <c r="D138">
        <v>35484</v>
      </c>
      <c r="E138">
        <v>8871</v>
      </c>
      <c r="F138" cm="1">
        <f t="array" ref="F138">_xlfn.IFS(B138="tt",D138/100*7*3900/1000,B138="order",D138/1000)</f>
        <v>9687.132</v>
      </c>
      <c r="G138" s="44" cm="1">
        <f t="array" ref="G138">_xlfn.IFS(B138="tt",E138/100*7*3900/1000,B138="order",E138/1000)</f>
        <v>2421.783</v>
      </c>
      <c r="H138" t="str">
        <f t="shared" si="2"/>
        <v>202601</v>
      </c>
    </row>
    <row r="139" spans="1:8">
      <c r="A139" s="43">
        <v>46045</v>
      </c>
      <c r="B139" t="s">
        <v>9</v>
      </c>
      <c r="C139" t="s">
        <v>11</v>
      </c>
      <c r="D139">
        <v>21445</v>
      </c>
      <c r="E139">
        <v>5361</v>
      </c>
      <c r="F139" cm="1">
        <f t="array" ref="F139">_xlfn.IFS(B139="tt",D139/100*7*3900/1000,B139="order",D139/1000)</f>
        <v>5854.485</v>
      </c>
      <c r="G139" s="44" cm="1">
        <f t="array" ref="G139">_xlfn.IFS(B139="tt",E139/100*7*3900/1000,B139="order",E139/1000)</f>
        <v>1463.553</v>
      </c>
      <c r="H139" t="str">
        <f t="shared" si="2"/>
        <v>202601</v>
      </c>
    </row>
    <row r="140" spans="1:8">
      <c r="A140" s="43">
        <v>46046</v>
      </c>
      <c r="B140" t="s">
        <v>9</v>
      </c>
      <c r="C140" t="s">
        <v>11</v>
      </c>
      <c r="D140">
        <v>21843</v>
      </c>
      <c r="E140">
        <v>5460</v>
      </c>
      <c r="F140" cm="1">
        <f t="array" ref="F140">_xlfn.IFS(B140="tt",D140/100*7*3900/1000,B140="order",D140/1000)</f>
        <v>5963.139</v>
      </c>
      <c r="G140" s="44" cm="1">
        <f t="array" ref="G140">_xlfn.IFS(B140="tt",E140/100*7*3900/1000,B140="order",E140/1000)</f>
        <v>1490.58</v>
      </c>
      <c r="H140" t="str">
        <f t="shared" si="2"/>
        <v>202601</v>
      </c>
    </row>
    <row r="141" spans="1:8">
      <c r="A141" s="43">
        <v>46047</v>
      </c>
      <c r="B141" t="s">
        <v>9</v>
      </c>
      <c r="C141" t="s">
        <v>11</v>
      </c>
      <c r="D141">
        <v>3712</v>
      </c>
      <c r="E141">
        <v>928</v>
      </c>
      <c r="F141" cm="1">
        <f t="array" ref="F141">_xlfn.IFS(B141="tt",D141/100*7*3900/1000,B141="order",D141/1000)</f>
        <v>1013.376</v>
      </c>
      <c r="G141" s="44" cm="1">
        <f t="array" ref="G141">_xlfn.IFS(B141="tt",E141/100*7*3900/1000,B141="order",E141/1000)</f>
        <v>253.344</v>
      </c>
      <c r="H141" t="str">
        <f t="shared" si="2"/>
        <v>202601</v>
      </c>
    </row>
    <row r="142" spans="1:8">
      <c r="A142" s="43">
        <v>46049</v>
      </c>
      <c r="B142" t="s">
        <v>9</v>
      </c>
      <c r="C142" t="s">
        <v>11</v>
      </c>
      <c r="D142">
        <v>12880</v>
      </c>
      <c r="E142">
        <v>3220</v>
      </c>
      <c r="F142" cm="1">
        <f t="array" ref="F142">_xlfn.IFS(B142="tt",D142/100*7*3900/1000,B142="order",D142/1000)</f>
        <v>3516.24</v>
      </c>
      <c r="G142" s="44" cm="1">
        <f t="array" ref="G142">_xlfn.IFS(B142="tt",E142/100*7*3900/1000,B142="order",E142/1000)</f>
        <v>879.06</v>
      </c>
      <c r="H142" t="str">
        <f t="shared" si="2"/>
        <v>202601</v>
      </c>
    </row>
    <row r="143" spans="1:8">
      <c r="A143" s="43">
        <v>46050</v>
      </c>
      <c r="B143" t="s">
        <v>9</v>
      </c>
      <c r="C143" t="s">
        <v>11</v>
      </c>
      <c r="D143">
        <v>11058</v>
      </c>
      <c r="E143">
        <v>2764</v>
      </c>
      <c r="F143" cm="1">
        <f t="array" ref="F143">_xlfn.IFS(B143="tt",D143/100*7*3900/1000,B143="order",D143/1000)</f>
        <v>3018.834</v>
      </c>
      <c r="G143" s="44" cm="1">
        <f t="array" ref="G143">_xlfn.IFS(B143="tt",E143/100*7*3900/1000,B143="order",E143/1000)</f>
        <v>754.572</v>
      </c>
      <c r="H143" t="str">
        <f t="shared" si="2"/>
        <v>202601</v>
      </c>
    </row>
    <row r="144" spans="1:8">
      <c r="A144" s="43">
        <v>46051</v>
      </c>
      <c r="B144" t="s">
        <v>9</v>
      </c>
      <c r="C144" t="s">
        <v>11</v>
      </c>
      <c r="D144">
        <v>9323</v>
      </c>
      <c r="E144">
        <v>2330</v>
      </c>
      <c r="F144" cm="1">
        <f t="array" ref="F144">_xlfn.IFS(B144="tt",D144/100*7*3900/1000,B144="order",D144/1000)</f>
        <v>2545.179</v>
      </c>
      <c r="G144" s="44" cm="1">
        <f t="array" ref="G144">_xlfn.IFS(B144="tt",E144/100*7*3900/1000,B144="order",E144/1000)</f>
        <v>636.09</v>
      </c>
      <c r="H144" t="str">
        <f t="shared" si="2"/>
        <v>202601</v>
      </c>
    </row>
    <row r="145" spans="1:8">
      <c r="A145" s="43">
        <v>46052</v>
      </c>
      <c r="B145" t="s">
        <v>9</v>
      </c>
      <c r="C145" t="s">
        <v>11</v>
      </c>
      <c r="D145">
        <v>14822</v>
      </c>
      <c r="E145">
        <v>3705</v>
      </c>
      <c r="F145" cm="1">
        <f t="array" ref="F145">_xlfn.IFS(B145="tt",D145/100*7*3900/1000,B145="order",D145/1000)</f>
        <v>4046.406</v>
      </c>
      <c r="G145" s="44" cm="1">
        <f t="array" ref="G145">_xlfn.IFS(B145="tt",E145/100*7*3900/1000,B145="order",E145/1000)</f>
        <v>1011.465</v>
      </c>
      <c r="H145" t="str">
        <f t="shared" si="2"/>
        <v>202601</v>
      </c>
    </row>
    <row r="146" spans="1:8">
      <c r="A146" s="43">
        <v>46053</v>
      </c>
      <c r="B146" t="s">
        <v>9</v>
      </c>
      <c r="C146" t="s">
        <v>11</v>
      </c>
      <c r="D146">
        <v>10124</v>
      </c>
      <c r="E146">
        <v>2531</v>
      </c>
      <c r="F146" cm="1">
        <f t="array" ref="F146">_xlfn.IFS(B146="tt",D146/100*7*3900/1000,B146="order",D146/1000)</f>
        <v>2763.852</v>
      </c>
      <c r="G146" s="44" cm="1">
        <f t="array" ref="G146">_xlfn.IFS(B146="tt",E146/100*7*3900/1000,B146="order",E146/1000)</f>
        <v>690.963</v>
      </c>
      <c r="H146" t="str">
        <f t="shared" si="2"/>
        <v>202601</v>
      </c>
    </row>
    <row r="147" spans="1:8">
      <c r="A147" s="43">
        <v>46054</v>
      </c>
      <c r="B147" t="s">
        <v>9</v>
      </c>
      <c r="C147" t="s">
        <v>11</v>
      </c>
      <c r="D147">
        <v>2034</v>
      </c>
      <c r="E147">
        <v>508</v>
      </c>
      <c r="F147" cm="1">
        <f t="array" ref="F147">_xlfn.IFS(B147="tt",D147/100*7*3900/1000,B147="order",D147/1000)</f>
        <v>555.282</v>
      </c>
      <c r="G147" s="44" cm="1">
        <f t="array" ref="G147">_xlfn.IFS(B147="tt",E147/100*7*3900/1000,B147="order",E147/1000)</f>
        <v>138.684</v>
      </c>
      <c r="H147" t="str">
        <f t="shared" si="2"/>
        <v>202602</v>
      </c>
    </row>
    <row r="148" spans="1:8">
      <c r="A148" s="43">
        <v>46056</v>
      </c>
      <c r="B148" t="s">
        <v>9</v>
      </c>
      <c r="C148" t="s">
        <v>11</v>
      </c>
      <c r="D148">
        <v>10375</v>
      </c>
      <c r="E148">
        <v>2593</v>
      </c>
      <c r="F148" cm="1">
        <f t="array" ref="F148">_xlfn.IFS(B148="tt",D148/100*7*3900/1000,B148="order",D148/1000)</f>
        <v>2832.375</v>
      </c>
      <c r="G148" s="44" cm="1">
        <f t="array" ref="G148">_xlfn.IFS(B148="tt",E148/100*7*3900/1000,B148="order",E148/1000)</f>
        <v>707.889</v>
      </c>
      <c r="H148" t="str">
        <f t="shared" si="2"/>
        <v>202602</v>
      </c>
    </row>
    <row r="149" spans="1:8">
      <c r="A149" s="43">
        <v>46057</v>
      </c>
      <c r="B149" t="s">
        <v>9</v>
      </c>
      <c r="C149" t="s">
        <v>11</v>
      </c>
      <c r="D149">
        <v>4813</v>
      </c>
      <c r="E149">
        <v>1203</v>
      </c>
      <c r="F149" cm="1">
        <f t="array" ref="F149">_xlfn.IFS(B149="tt",D149/100*7*3900/1000,B149="order",D149/1000)</f>
        <v>1313.949</v>
      </c>
      <c r="G149" s="44" cm="1">
        <f t="array" ref="G149">_xlfn.IFS(B149="tt",E149/100*7*3900/1000,B149="order",E149/1000)</f>
        <v>328.419</v>
      </c>
      <c r="H149" t="str">
        <f t="shared" si="2"/>
        <v>202602</v>
      </c>
    </row>
    <row r="150" spans="1:8">
      <c r="A150" s="43">
        <v>46058</v>
      </c>
      <c r="B150" t="s">
        <v>9</v>
      </c>
      <c r="C150" t="s">
        <v>11</v>
      </c>
      <c r="D150">
        <v>5460</v>
      </c>
      <c r="E150">
        <v>1365</v>
      </c>
      <c r="F150" cm="1">
        <f t="array" ref="F150">_xlfn.IFS(B150="tt",D150/100*7*3900/1000,B150="order",D150/1000)</f>
        <v>1490.58</v>
      </c>
      <c r="G150" s="44" cm="1">
        <f t="array" ref="G150">_xlfn.IFS(B150="tt",E150/100*7*3900/1000,B150="order",E150/1000)</f>
        <v>372.645</v>
      </c>
      <c r="H150" t="str">
        <f t="shared" si="2"/>
        <v>202602</v>
      </c>
    </row>
    <row r="151" spans="1:8">
      <c r="A151" s="43">
        <v>46059</v>
      </c>
      <c r="B151" t="s">
        <v>9</v>
      </c>
      <c r="C151" t="s">
        <v>11</v>
      </c>
      <c r="D151">
        <v>16076</v>
      </c>
      <c r="E151">
        <v>4019</v>
      </c>
      <c r="F151" cm="1">
        <f t="array" ref="F151">_xlfn.IFS(B151="tt",D151/100*7*3900/1000,B151="order",D151/1000)</f>
        <v>4388.748</v>
      </c>
      <c r="G151" s="44" cm="1">
        <f t="array" ref="G151">_xlfn.IFS(B151="tt",E151/100*7*3900/1000,B151="order",E151/1000)</f>
        <v>1097.187</v>
      </c>
      <c r="H151" t="str">
        <f t="shared" si="2"/>
        <v>202602</v>
      </c>
    </row>
    <row r="152" spans="1:8">
      <c r="A152" s="43">
        <v>46060</v>
      </c>
      <c r="B152" t="s">
        <v>9</v>
      </c>
      <c r="C152" t="s">
        <v>11</v>
      </c>
      <c r="D152">
        <v>8735</v>
      </c>
      <c r="E152">
        <v>2183</v>
      </c>
      <c r="F152" cm="1">
        <f t="array" ref="F152">_xlfn.IFS(B152="tt",D152/100*7*3900/1000,B152="order",D152/1000)</f>
        <v>2384.655</v>
      </c>
      <c r="G152" s="44" cm="1">
        <f t="array" ref="G152">_xlfn.IFS(B152="tt",E152/100*7*3900/1000,B152="order",E152/1000)</f>
        <v>595.959</v>
      </c>
      <c r="H152" t="str">
        <f t="shared" si="2"/>
        <v>202602</v>
      </c>
    </row>
    <row r="153" spans="1:8">
      <c r="A153" s="43">
        <v>46061</v>
      </c>
      <c r="B153" t="s">
        <v>9</v>
      </c>
      <c r="C153" t="s">
        <v>11</v>
      </c>
      <c r="D153">
        <v>16200</v>
      </c>
      <c r="E153">
        <v>4050</v>
      </c>
      <c r="F153" cm="1">
        <f t="array" ref="F153">_xlfn.IFS(B153="tt",D153/100*7*3900/1000,B153="order",D153/1000)</f>
        <v>4422.6</v>
      </c>
      <c r="G153" s="44" cm="1">
        <f t="array" ref="G153">_xlfn.IFS(B153="tt",E153/100*7*3900/1000,B153="order",E153/1000)</f>
        <v>1105.65</v>
      </c>
      <c r="H153" t="str">
        <f t="shared" si="2"/>
        <v>202602</v>
      </c>
    </row>
    <row r="154" spans="1:8">
      <c r="A154" s="43">
        <v>46063</v>
      </c>
      <c r="B154" t="s">
        <v>9</v>
      </c>
      <c r="C154" t="s">
        <v>11</v>
      </c>
      <c r="D154">
        <v>30031</v>
      </c>
      <c r="E154">
        <v>7507</v>
      </c>
      <c r="F154" cm="1">
        <f t="array" ref="F154">_xlfn.IFS(B154="tt",D154/100*7*3900/1000,B154="order",D154/1000)</f>
        <v>8198.463</v>
      </c>
      <c r="G154" s="44" cm="1">
        <f t="array" ref="G154">_xlfn.IFS(B154="tt",E154/100*7*3900/1000,B154="order",E154/1000)</f>
        <v>2049.411</v>
      </c>
      <c r="H154" t="str">
        <f t="shared" si="2"/>
        <v>202602</v>
      </c>
    </row>
    <row r="155" spans="1:8">
      <c r="A155" s="43">
        <v>46064</v>
      </c>
      <c r="B155" t="s">
        <v>9</v>
      </c>
      <c r="C155" t="s">
        <v>11</v>
      </c>
      <c r="D155">
        <v>24316</v>
      </c>
      <c r="E155">
        <v>6079</v>
      </c>
      <c r="F155" cm="1">
        <f t="array" ref="F155">_xlfn.IFS(B155="tt",D155/100*7*3900/1000,B155="order",D155/1000)</f>
        <v>6638.268</v>
      </c>
      <c r="G155" s="44" cm="1">
        <f t="array" ref="G155">_xlfn.IFS(B155="tt",E155/100*7*3900/1000,B155="order",E155/1000)</f>
        <v>1659.567</v>
      </c>
      <c r="H155" t="str">
        <f t="shared" si="2"/>
        <v>202602</v>
      </c>
    </row>
    <row r="156" spans="1:8">
      <c r="A156" s="43">
        <v>46065</v>
      </c>
      <c r="B156" t="s">
        <v>9</v>
      </c>
      <c r="C156" t="s">
        <v>11</v>
      </c>
      <c r="D156">
        <v>32017</v>
      </c>
      <c r="E156">
        <v>8004</v>
      </c>
      <c r="F156" cm="1">
        <f t="array" ref="F156">_xlfn.IFS(B156="tt",D156/100*7*3900/1000,B156="order",D156/1000)</f>
        <v>8740.641</v>
      </c>
      <c r="G156" s="44" cm="1">
        <f t="array" ref="G156">_xlfn.IFS(B156="tt",E156/100*7*3900/1000,B156="order",E156/1000)</f>
        <v>2185.092</v>
      </c>
      <c r="H156" t="str">
        <f t="shared" si="2"/>
        <v>202602</v>
      </c>
    </row>
    <row r="157" spans="1:8">
      <c r="A157" s="43">
        <v>46066</v>
      </c>
      <c r="B157" t="s">
        <v>9</v>
      </c>
      <c r="C157" t="s">
        <v>11</v>
      </c>
      <c r="D157">
        <v>19447</v>
      </c>
      <c r="E157">
        <v>4861</v>
      </c>
      <c r="F157" cm="1">
        <f t="array" ref="F157">_xlfn.IFS(B157="tt",D157/100*7*3900/1000,B157="order",D157/1000)</f>
        <v>5309.031</v>
      </c>
      <c r="G157" s="44" cm="1">
        <f t="array" ref="G157">_xlfn.IFS(B157="tt",E157/100*7*3900/1000,B157="order",E157/1000)</f>
        <v>1327.053</v>
      </c>
      <c r="H157" t="str">
        <f t="shared" si="2"/>
        <v>202602</v>
      </c>
    </row>
    <row r="158" spans="1:8">
      <c r="A158" s="43">
        <v>46068</v>
      </c>
      <c r="B158" t="s">
        <v>9</v>
      </c>
      <c r="C158" t="s">
        <v>11</v>
      </c>
      <c r="D158">
        <v>16749</v>
      </c>
      <c r="E158">
        <v>4187</v>
      </c>
      <c r="F158" cm="1">
        <f t="array" ref="F158">_xlfn.IFS(B158="tt",D158/100*7*3900/1000,B158="order",D158/1000)</f>
        <v>4572.477</v>
      </c>
      <c r="G158" s="44" cm="1">
        <f t="array" ref="G158">_xlfn.IFS(B158="tt",E158/100*7*3900/1000,B158="order",E158/1000)</f>
        <v>1143.051</v>
      </c>
      <c r="H158" t="str">
        <f t="shared" si="2"/>
        <v>202602</v>
      </c>
    </row>
    <row r="159" spans="1:8">
      <c r="A159" s="43">
        <v>46069</v>
      </c>
      <c r="B159" t="s">
        <v>9</v>
      </c>
      <c r="C159" t="s">
        <v>11</v>
      </c>
      <c r="D159">
        <v>11855</v>
      </c>
      <c r="E159">
        <v>2963</v>
      </c>
      <c r="F159" cm="1">
        <f t="array" ref="F159">_xlfn.IFS(B159="tt",D159/100*7*3900/1000,B159="order",D159/1000)</f>
        <v>3236.415</v>
      </c>
      <c r="G159" s="44" cm="1">
        <f t="array" ref="G159">_xlfn.IFS(B159="tt",E159/100*7*3900/1000,B159="order",E159/1000)</f>
        <v>808.899</v>
      </c>
      <c r="H159" t="str">
        <f t="shared" si="2"/>
        <v>202602</v>
      </c>
    </row>
    <row r="160" spans="1:8">
      <c r="A160" s="43">
        <v>46072</v>
      </c>
      <c r="B160" t="s">
        <v>9</v>
      </c>
      <c r="C160" t="s">
        <v>11</v>
      </c>
      <c r="D160">
        <v>11601</v>
      </c>
      <c r="E160">
        <v>2900</v>
      </c>
      <c r="F160" cm="1">
        <f t="array" ref="F160">_xlfn.IFS(B160="tt",D160/100*7*3900/1000,B160="order",D160/1000)</f>
        <v>3167.073</v>
      </c>
      <c r="G160" s="44" cm="1">
        <f t="array" ref="G160">_xlfn.IFS(B160="tt",E160/100*7*3900/1000,B160="order",E160/1000)</f>
        <v>791.7</v>
      </c>
      <c r="H160" t="str">
        <f t="shared" si="2"/>
        <v>202602</v>
      </c>
    </row>
    <row r="161" spans="1:8">
      <c r="A161" s="43">
        <v>46075</v>
      </c>
      <c r="B161" t="s">
        <v>9</v>
      </c>
      <c r="C161" t="s">
        <v>11</v>
      </c>
      <c r="D161">
        <v>31867</v>
      </c>
      <c r="E161">
        <v>7966</v>
      </c>
      <c r="F161" cm="1">
        <f t="array" ref="F161">_xlfn.IFS(B161="tt",D161/100*7*3900/1000,B161="order",D161/1000)</f>
        <v>8699.691</v>
      </c>
      <c r="G161" s="44" cm="1">
        <f t="array" ref="G161">_xlfn.IFS(B161="tt",E161/100*7*3900/1000,B161="order",E161/1000)</f>
        <v>2174.718</v>
      </c>
      <c r="H161" t="str">
        <f t="shared" si="2"/>
        <v>202602</v>
      </c>
    </row>
    <row r="162" spans="1:8">
      <c r="A162" s="43">
        <v>46076</v>
      </c>
      <c r="B162" t="s">
        <v>9</v>
      </c>
      <c r="C162" t="s">
        <v>11</v>
      </c>
      <c r="D162">
        <v>14864</v>
      </c>
      <c r="E162">
        <v>3716</v>
      </c>
      <c r="F162" cm="1">
        <f t="array" ref="F162">_xlfn.IFS(B162="tt",D162/100*7*3900/1000,B162="order",D162/1000)</f>
        <v>4057.872</v>
      </c>
      <c r="G162" s="44" cm="1">
        <f t="array" ref="G162">_xlfn.IFS(B162="tt",E162/100*7*3900/1000,B162="order",E162/1000)</f>
        <v>1014.468</v>
      </c>
      <c r="H162" t="str">
        <f t="shared" si="2"/>
        <v>202602</v>
      </c>
    </row>
    <row r="163" spans="1:8">
      <c r="A163" s="43">
        <v>46077</v>
      </c>
      <c r="B163" t="s">
        <v>9</v>
      </c>
      <c r="C163" t="s">
        <v>11</v>
      </c>
      <c r="D163">
        <v>21653</v>
      </c>
      <c r="E163">
        <v>5413</v>
      </c>
      <c r="F163" cm="1">
        <f t="array" ref="F163">_xlfn.IFS(B163="tt",D163/100*7*3900/1000,B163="order",D163/1000)</f>
        <v>5911.269</v>
      </c>
      <c r="G163" s="44" cm="1">
        <f t="array" ref="G163">_xlfn.IFS(B163="tt",E163/100*7*3900/1000,B163="order",E163/1000)</f>
        <v>1477.749</v>
      </c>
      <c r="H163" t="str">
        <f t="shared" si="2"/>
        <v>202602</v>
      </c>
    </row>
    <row r="164" spans="1:8">
      <c r="A164" s="43">
        <v>46078</v>
      </c>
      <c r="B164" t="s">
        <v>9</v>
      </c>
      <c r="C164" t="s">
        <v>11</v>
      </c>
      <c r="D164">
        <v>11247</v>
      </c>
      <c r="E164">
        <v>2811</v>
      </c>
      <c r="F164" cm="1">
        <f t="array" ref="F164">_xlfn.IFS(B164="tt",D164/100*7*3900/1000,B164="order",D164/1000)</f>
        <v>3070.431</v>
      </c>
      <c r="G164" s="44" cm="1">
        <f t="array" ref="G164">_xlfn.IFS(B164="tt",E164/100*7*3900/1000,B164="order",E164/1000)</f>
        <v>767.403</v>
      </c>
      <c r="H164" t="str">
        <f t="shared" si="2"/>
        <v>202602</v>
      </c>
    </row>
    <row r="165" spans="1:8">
      <c r="A165" s="43">
        <v>46079</v>
      </c>
      <c r="B165" t="s">
        <v>9</v>
      </c>
      <c r="C165" t="s">
        <v>11</v>
      </c>
      <c r="D165">
        <v>10752</v>
      </c>
      <c r="E165">
        <v>2688</v>
      </c>
      <c r="F165" cm="1">
        <f t="array" ref="F165">_xlfn.IFS(B165="tt",D165/100*7*3900/1000,B165="order",D165/1000)</f>
        <v>2935.296</v>
      </c>
      <c r="G165" s="44" cm="1">
        <f t="array" ref="G165">_xlfn.IFS(B165="tt",E165/100*7*3900/1000,B165="order",E165/1000)</f>
        <v>733.824</v>
      </c>
      <c r="H165" t="str">
        <f t="shared" si="2"/>
        <v>202602</v>
      </c>
    </row>
    <row r="166" spans="1:8">
      <c r="A166" s="43">
        <v>46080</v>
      </c>
      <c r="B166" t="s">
        <v>9</v>
      </c>
      <c r="C166" t="s">
        <v>11</v>
      </c>
      <c r="D166">
        <v>18083</v>
      </c>
      <c r="E166">
        <v>4520</v>
      </c>
      <c r="F166" cm="1">
        <f t="array" ref="F166">_xlfn.IFS(B166="tt",D166/100*7*3900/1000,B166="order",D166/1000)</f>
        <v>4936.659</v>
      </c>
      <c r="G166" s="44" cm="1">
        <f t="array" ref="G166">_xlfn.IFS(B166="tt",E166/100*7*3900/1000,B166="order",E166/1000)</f>
        <v>1233.96</v>
      </c>
      <c r="H166" t="str">
        <f t="shared" si="2"/>
        <v>202602</v>
      </c>
    </row>
    <row r="167" spans="1:8">
      <c r="A167" s="43">
        <v>46081</v>
      </c>
      <c r="B167" t="s">
        <v>9</v>
      </c>
      <c r="C167" t="s">
        <v>11</v>
      </c>
      <c r="D167">
        <v>24508</v>
      </c>
      <c r="E167">
        <v>6127</v>
      </c>
      <c r="F167" cm="1">
        <f t="array" ref="F167">_xlfn.IFS(B167="tt",D167/100*7*3900/1000,B167="order",D167/1000)</f>
        <v>6690.684</v>
      </c>
      <c r="G167" s="44" cm="1">
        <f t="array" ref="G167">_xlfn.IFS(B167="tt",E167/100*7*3900/1000,B167="order",E167/1000)</f>
        <v>1672.671</v>
      </c>
      <c r="H167" t="str">
        <f t="shared" si="2"/>
        <v>202602</v>
      </c>
    </row>
    <row r="168" spans="1:8">
      <c r="A168" s="43">
        <v>46082</v>
      </c>
      <c r="B168" t="s">
        <v>9</v>
      </c>
      <c r="C168" t="s">
        <v>11</v>
      </c>
      <c r="D168">
        <v>21562</v>
      </c>
      <c r="E168">
        <v>5390</v>
      </c>
      <c r="F168" cm="1">
        <f t="array" ref="F168">_xlfn.IFS(B168="tt",D168/100*7*3900/1000,B168="order",D168/1000)</f>
        <v>5886.426</v>
      </c>
      <c r="G168" s="44" cm="1">
        <f t="array" ref="G168">_xlfn.IFS(B168="tt",E168/100*7*3900/1000,B168="order",E168/1000)</f>
        <v>1471.47</v>
      </c>
      <c r="H168" t="str">
        <f t="shared" si="2"/>
        <v>202603</v>
      </c>
    </row>
    <row r="169" spans="1:8">
      <c r="A169" s="43">
        <v>46084</v>
      </c>
      <c r="B169" t="s">
        <v>9</v>
      </c>
      <c r="C169" t="s">
        <v>11</v>
      </c>
      <c r="D169">
        <v>26009</v>
      </c>
      <c r="E169">
        <v>6502</v>
      </c>
      <c r="F169" cm="1">
        <f t="array" ref="F169">_xlfn.IFS(B169="tt",D169/100*7*3900/1000,B169="order",D169/1000)</f>
        <v>7100.457</v>
      </c>
      <c r="G169" s="44" cm="1">
        <f t="array" ref="G169">_xlfn.IFS(B169="tt",E169/100*7*3900/1000,B169="order",E169/1000)</f>
        <v>1775.046</v>
      </c>
      <c r="H169" t="str">
        <f t="shared" si="2"/>
        <v>202603</v>
      </c>
    </row>
    <row r="170" spans="1:8">
      <c r="A170" s="43">
        <v>46085</v>
      </c>
      <c r="B170" t="s">
        <v>9</v>
      </c>
      <c r="C170" t="s">
        <v>11</v>
      </c>
      <c r="D170">
        <v>33843</v>
      </c>
      <c r="E170">
        <v>8460</v>
      </c>
      <c r="F170" cm="1">
        <f t="array" ref="F170">_xlfn.IFS(B170="tt",D170/100*7*3900/1000,B170="order",D170/1000)</f>
        <v>9239.139</v>
      </c>
      <c r="G170" s="44" cm="1">
        <f t="array" ref="G170">_xlfn.IFS(B170="tt",E170/100*7*3900/1000,B170="order",E170/1000)</f>
        <v>2309.58</v>
      </c>
      <c r="H170" t="str">
        <f t="shared" si="2"/>
        <v>202603</v>
      </c>
    </row>
    <row r="171" spans="1:8">
      <c r="A171" s="43">
        <v>46086</v>
      </c>
      <c r="B171" t="s">
        <v>9</v>
      </c>
      <c r="C171" t="s">
        <v>11</v>
      </c>
      <c r="D171">
        <v>11593</v>
      </c>
      <c r="E171">
        <v>2898</v>
      </c>
      <c r="F171" cm="1">
        <f t="array" ref="F171">_xlfn.IFS(B171="tt",D171/100*7*3900/1000,B171="order",D171/1000)</f>
        <v>3164.889</v>
      </c>
      <c r="G171" s="44" cm="1">
        <f t="array" ref="G171">_xlfn.IFS(B171="tt",E171/100*7*3900/1000,B171="order",E171/1000)</f>
        <v>791.154</v>
      </c>
      <c r="H171" t="str">
        <f t="shared" si="2"/>
        <v>202603</v>
      </c>
    </row>
    <row r="172" spans="1:8">
      <c r="A172" s="43">
        <v>46087</v>
      </c>
      <c r="B172" t="s">
        <v>9</v>
      </c>
      <c r="C172" t="s">
        <v>11</v>
      </c>
      <c r="D172">
        <v>39393</v>
      </c>
      <c r="E172">
        <v>9848</v>
      </c>
      <c r="F172" cm="1">
        <f t="array" ref="F172">_xlfn.IFS(B172="tt",D172/100*7*3900/1000,B172="order",D172/1000)</f>
        <v>10754.289</v>
      </c>
      <c r="G172" s="44" cm="1">
        <f t="array" ref="G172">_xlfn.IFS(B172="tt",E172/100*7*3900/1000,B172="order",E172/1000)</f>
        <v>2688.504</v>
      </c>
      <c r="H172" t="str">
        <f t="shared" si="2"/>
        <v>202603</v>
      </c>
    </row>
    <row r="173" spans="1:8">
      <c r="A173" s="43">
        <v>46089</v>
      </c>
      <c r="B173" t="s">
        <v>9</v>
      </c>
      <c r="C173" t="s">
        <v>11</v>
      </c>
      <c r="D173">
        <v>28143</v>
      </c>
      <c r="E173">
        <v>7035</v>
      </c>
      <c r="F173" cm="1">
        <f t="array" ref="F173">_xlfn.IFS(B173="tt",D173/100*7*3900/1000,B173="order",D173/1000)</f>
        <v>7683.039</v>
      </c>
      <c r="G173" s="44" cm="1">
        <f t="array" ref="G173">_xlfn.IFS(B173="tt",E173/100*7*3900/1000,B173="order",E173/1000)</f>
        <v>1920.555</v>
      </c>
      <c r="H173" t="str">
        <f t="shared" si="2"/>
        <v>202603</v>
      </c>
    </row>
    <row r="174" spans="1:8">
      <c r="A174" s="43">
        <v>46091</v>
      </c>
      <c r="B174" t="s">
        <v>9</v>
      </c>
      <c r="C174" t="s">
        <v>11</v>
      </c>
      <c r="D174">
        <v>20346</v>
      </c>
      <c r="E174">
        <v>5086</v>
      </c>
      <c r="F174" cm="1">
        <f t="array" ref="F174">_xlfn.IFS(B174="tt",D174/100*7*3900/1000,B174="order",D174/1000)</f>
        <v>5554.458</v>
      </c>
      <c r="G174" s="44" cm="1">
        <f t="array" ref="G174">_xlfn.IFS(B174="tt",E174/100*7*3900/1000,B174="order",E174/1000)</f>
        <v>1388.478</v>
      </c>
      <c r="H174" t="str">
        <f t="shared" si="2"/>
        <v>202603</v>
      </c>
    </row>
    <row r="175" spans="1:8">
      <c r="A175" s="43">
        <v>46092</v>
      </c>
      <c r="B175" t="s">
        <v>9</v>
      </c>
      <c r="C175" t="s">
        <v>11</v>
      </c>
      <c r="D175">
        <v>12577</v>
      </c>
      <c r="E175">
        <v>3144</v>
      </c>
      <c r="F175" cm="1">
        <f t="array" ref="F175">_xlfn.IFS(B175="tt",D175/100*7*3900/1000,B175="order",D175/1000)</f>
        <v>3433.521</v>
      </c>
      <c r="G175" s="44" cm="1">
        <f t="array" ref="G175">_xlfn.IFS(B175="tt",E175/100*7*3900/1000,B175="order",E175/1000)</f>
        <v>858.312</v>
      </c>
      <c r="H175" t="str">
        <f t="shared" si="2"/>
        <v>202603</v>
      </c>
    </row>
    <row r="176" spans="1:8">
      <c r="A176" s="43">
        <v>46093</v>
      </c>
      <c r="B176" t="s">
        <v>9</v>
      </c>
      <c r="C176" t="s">
        <v>11</v>
      </c>
      <c r="D176">
        <v>19069</v>
      </c>
      <c r="E176">
        <v>4767</v>
      </c>
      <c r="F176" cm="1">
        <f t="array" ref="F176">_xlfn.IFS(B176="tt",D176/100*7*3900/1000,B176="order",D176/1000)</f>
        <v>5205.837</v>
      </c>
      <c r="G176" s="44" cm="1">
        <f t="array" ref="G176">_xlfn.IFS(B176="tt",E176/100*7*3900/1000,B176="order",E176/1000)</f>
        <v>1301.391</v>
      </c>
      <c r="H176" t="str">
        <f t="shared" si="2"/>
        <v>202603</v>
      </c>
    </row>
    <row r="177" spans="1:8">
      <c r="A177" s="43">
        <v>46094</v>
      </c>
      <c r="B177" t="s">
        <v>9</v>
      </c>
      <c r="C177" t="s">
        <v>11</v>
      </c>
      <c r="D177">
        <v>10305</v>
      </c>
      <c r="E177">
        <v>2576</v>
      </c>
      <c r="F177" cm="1">
        <f t="array" ref="F177">_xlfn.IFS(B177="tt",D177/100*7*3900/1000,B177="order",D177/1000)</f>
        <v>2813.265</v>
      </c>
      <c r="G177" s="44" cm="1">
        <f t="array" ref="G177">_xlfn.IFS(B177="tt",E177/100*7*3900/1000,B177="order",E177/1000)</f>
        <v>703.248</v>
      </c>
      <c r="H177" t="str">
        <f t="shared" si="2"/>
        <v>202603</v>
      </c>
    </row>
    <row r="178" spans="1:8">
      <c r="A178" s="43">
        <v>46095</v>
      </c>
      <c r="B178" t="s">
        <v>9</v>
      </c>
      <c r="C178" t="s">
        <v>11</v>
      </c>
      <c r="D178">
        <v>21416</v>
      </c>
      <c r="E178">
        <v>5354</v>
      </c>
      <c r="F178" cm="1">
        <f t="array" ref="F178">_xlfn.IFS(B178="tt",D178/100*7*3900/1000,B178="order",D178/1000)</f>
        <v>5846.568</v>
      </c>
      <c r="G178" s="44" cm="1">
        <f t="array" ref="G178">_xlfn.IFS(B178="tt",E178/100*7*3900/1000,B178="order",E178/1000)</f>
        <v>1461.642</v>
      </c>
      <c r="H178" t="str">
        <f t="shared" si="2"/>
        <v>202603</v>
      </c>
    </row>
    <row r="179" spans="1:8">
      <c r="A179" s="43">
        <v>46096</v>
      </c>
      <c r="B179" t="s">
        <v>9</v>
      </c>
      <c r="C179" t="s">
        <v>11</v>
      </c>
      <c r="D179">
        <v>24073</v>
      </c>
      <c r="E179">
        <v>6018</v>
      </c>
      <c r="F179" cm="1">
        <f t="array" ref="F179">_xlfn.IFS(B179="tt",D179/100*7*3900/1000,B179="order",D179/1000)</f>
        <v>6571.929</v>
      </c>
      <c r="G179" s="44" cm="1">
        <f t="array" ref="G179">_xlfn.IFS(B179="tt",E179/100*7*3900/1000,B179="order",E179/1000)</f>
        <v>1642.914</v>
      </c>
      <c r="H179" t="str">
        <f t="shared" si="2"/>
        <v>202603</v>
      </c>
    </row>
    <row r="180" spans="1:8">
      <c r="A180" s="43">
        <v>46098</v>
      </c>
      <c r="B180" t="s">
        <v>9</v>
      </c>
      <c r="C180" t="s">
        <v>11</v>
      </c>
      <c r="D180">
        <v>12137</v>
      </c>
      <c r="E180">
        <v>3034</v>
      </c>
      <c r="F180" cm="1">
        <f t="array" ref="F180">_xlfn.IFS(B180="tt",D180/100*7*3900/1000,B180="order",D180/1000)</f>
        <v>3313.401</v>
      </c>
      <c r="G180" s="44" cm="1">
        <f t="array" ref="G180">_xlfn.IFS(B180="tt",E180/100*7*3900/1000,B180="order",E180/1000)</f>
        <v>828.282</v>
      </c>
      <c r="H180" t="str">
        <f t="shared" si="2"/>
        <v>202603</v>
      </c>
    </row>
    <row r="181" spans="1:8">
      <c r="A181" s="43">
        <v>46099</v>
      </c>
      <c r="B181" t="s">
        <v>9</v>
      </c>
      <c r="C181" t="s">
        <v>11</v>
      </c>
      <c r="D181">
        <v>23571</v>
      </c>
      <c r="E181">
        <v>5892</v>
      </c>
      <c r="F181" cm="1">
        <f t="array" ref="F181">_xlfn.IFS(B181="tt",D181/100*7*3900/1000,B181="order",D181/1000)</f>
        <v>6434.883</v>
      </c>
      <c r="G181" s="44" cm="1">
        <f t="array" ref="G181">_xlfn.IFS(B181="tt",E181/100*7*3900/1000,B181="order",E181/1000)</f>
        <v>1608.516</v>
      </c>
      <c r="H181" t="str">
        <f t="shared" si="2"/>
        <v>202603</v>
      </c>
    </row>
    <row r="182" spans="1:8">
      <c r="A182" s="43">
        <v>46100</v>
      </c>
      <c r="B182" t="s">
        <v>9</v>
      </c>
      <c r="C182" t="s">
        <v>11</v>
      </c>
      <c r="D182">
        <v>12776</v>
      </c>
      <c r="E182">
        <v>3194</v>
      </c>
      <c r="F182" cm="1">
        <f t="array" ref="F182">_xlfn.IFS(B182="tt",D182/100*7*3900/1000,B182="order",D182/1000)</f>
        <v>3487.848</v>
      </c>
      <c r="G182" s="44" cm="1">
        <f t="array" ref="G182">_xlfn.IFS(B182="tt",E182/100*7*3900/1000,B182="order",E182/1000)</f>
        <v>871.962</v>
      </c>
      <c r="H182" t="str">
        <f t="shared" si="2"/>
        <v>202603</v>
      </c>
    </row>
    <row r="183" spans="1:8">
      <c r="A183" s="43">
        <v>46101</v>
      </c>
      <c r="B183" t="s">
        <v>9</v>
      </c>
      <c r="C183" t="s">
        <v>11</v>
      </c>
      <c r="D183">
        <v>16095</v>
      </c>
      <c r="E183">
        <v>4023</v>
      </c>
      <c r="F183" cm="1">
        <f t="array" ref="F183">_xlfn.IFS(B183="tt",D183/100*7*3900/1000,B183="order",D183/1000)</f>
        <v>4393.935</v>
      </c>
      <c r="G183" s="44" cm="1">
        <f t="array" ref="G183">_xlfn.IFS(B183="tt",E183/100*7*3900/1000,B183="order",E183/1000)</f>
        <v>1098.279</v>
      </c>
      <c r="H183" t="str">
        <f t="shared" si="2"/>
        <v>202603</v>
      </c>
    </row>
    <row r="184" spans="1:8">
      <c r="A184" s="43">
        <v>46102</v>
      </c>
      <c r="B184" t="s">
        <v>9</v>
      </c>
      <c r="C184" t="s">
        <v>11</v>
      </c>
      <c r="D184">
        <v>13338</v>
      </c>
      <c r="E184">
        <v>3334</v>
      </c>
      <c r="F184" cm="1">
        <f t="array" ref="F184">_xlfn.IFS(B184="tt",D184/100*7*3900/1000,B184="order",D184/1000)</f>
        <v>3641.274</v>
      </c>
      <c r="G184" s="44" cm="1">
        <f t="array" ref="G184">_xlfn.IFS(B184="tt",E184/100*7*3900/1000,B184="order",E184/1000)</f>
        <v>910.182</v>
      </c>
      <c r="H184" t="str">
        <f t="shared" si="2"/>
        <v>202603</v>
      </c>
    </row>
    <row r="185" spans="1:8">
      <c r="A185" s="43">
        <v>46103</v>
      </c>
      <c r="B185" t="s">
        <v>9</v>
      </c>
      <c r="C185" t="s">
        <v>11</v>
      </c>
      <c r="D185">
        <v>14775</v>
      </c>
      <c r="E185">
        <v>3693</v>
      </c>
      <c r="F185" cm="1">
        <f t="array" ref="F185">_xlfn.IFS(B185="tt",D185/100*7*3900/1000,B185="order",D185/1000)</f>
        <v>4033.575</v>
      </c>
      <c r="G185" s="44" cm="1">
        <f t="array" ref="G185">_xlfn.IFS(B185="tt",E185/100*7*3900/1000,B185="order",E185/1000)</f>
        <v>1008.189</v>
      </c>
      <c r="H185" t="str">
        <f t="shared" si="2"/>
        <v>202603</v>
      </c>
    </row>
    <row r="186" spans="1:8">
      <c r="A186" s="43">
        <v>46105</v>
      </c>
      <c r="B186" t="s">
        <v>9</v>
      </c>
      <c r="C186" t="s">
        <v>11</v>
      </c>
      <c r="D186">
        <v>24845</v>
      </c>
      <c r="E186">
        <v>6211</v>
      </c>
      <c r="F186" cm="1">
        <f t="array" ref="F186">_xlfn.IFS(B186="tt",D186/100*7*3900/1000,B186="order",D186/1000)</f>
        <v>6782.685</v>
      </c>
      <c r="G186" s="44" cm="1">
        <f t="array" ref="G186">_xlfn.IFS(B186="tt",E186/100*7*3900/1000,B186="order",E186/1000)</f>
        <v>1695.603</v>
      </c>
      <c r="H186" t="str">
        <f t="shared" si="2"/>
        <v>202603</v>
      </c>
    </row>
    <row r="187" spans="1:8">
      <c r="A187" s="43">
        <v>46106</v>
      </c>
      <c r="B187" t="s">
        <v>9</v>
      </c>
      <c r="C187" t="s">
        <v>11</v>
      </c>
      <c r="D187">
        <v>13034</v>
      </c>
      <c r="E187">
        <v>3258</v>
      </c>
      <c r="F187" cm="1">
        <f t="array" ref="F187">_xlfn.IFS(B187="tt",D187/100*7*3900/1000,B187="order",D187/1000)</f>
        <v>3558.282</v>
      </c>
      <c r="G187" s="44" cm="1">
        <f t="array" ref="G187">_xlfn.IFS(B187="tt",E187/100*7*3900/1000,B187="order",E187/1000)</f>
        <v>889.434</v>
      </c>
      <c r="H187" t="str">
        <f t="shared" si="2"/>
        <v>202603</v>
      </c>
    </row>
    <row r="188" spans="1:8">
      <c r="A188" s="43">
        <v>46107</v>
      </c>
      <c r="B188" t="s">
        <v>9</v>
      </c>
      <c r="C188" t="s">
        <v>11</v>
      </c>
      <c r="D188">
        <v>15145</v>
      </c>
      <c r="E188">
        <v>3786</v>
      </c>
      <c r="F188" cm="1">
        <f t="array" ref="F188">_xlfn.IFS(B188="tt",D188/100*7*3900/1000,B188="order",D188/1000)</f>
        <v>4134.585</v>
      </c>
      <c r="G188" s="44" cm="1">
        <f t="array" ref="G188">_xlfn.IFS(B188="tt",E188/100*7*3900/1000,B188="order",E188/1000)</f>
        <v>1033.578</v>
      </c>
      <c r="H188" t="str">
        <f t="shared" si="2"/>
        <v>202603</v>
      </c>
    </row>
    <row r="189" spans="1:8">
      <c r="A189" s="43">
        <v>46108</v>
      </c>
      <c r="B189" t="s">
        <v>9</v>
      </c>
      <c r="C189" t="s">
        <v>11</v>
      </c>
      <c r="D189">
        <v>19216</v>
      </c>
      <c r="E189">
        <v>4804</v>
      </c>
      <c r="F189" cm="1">
        <f t="array" ref="F189">_xlfn.IFS(B189="tt",D189/100*7*3900/1000,B189="order",D189/1000)</f>
        <v>5245.968</v>
      </c>
      <c r="G189" s="44" cm="1">
        <f t="array" ref="G189">_xlfn.IFS(B189="tt",E189/100*7*3900/1000,B189="order",E189/1000)</f>
        <v>1311.492</v>
      </c>
      <c r="H189" t="str">
        <f t="shared" si="2"/>
        <v>202603</v>
      </c>
    </row>
    <row r="190" spans="1:8">
      <c r="A190" s="43">
        <v>46109</v>
      </c>
      <c r="B190" t="s">
        <v>9</v>
      </c>
      <c r="C190" t="s">
        <v>11</v>
      </c>
      <c r="D190">
        <v>4072</v>
      </c>
      <c r="E190">
        <v>1018</v>
      </c>
      <c r="F190" cm="1">
        <f t="array" ref="F190">_xlfn.IFS(B190="tt",D190/100*7*3900/1000,B190="order",D190/1000)</f>
        <v>1111.656</v>
      </c>
      <c r="G190" s="44" cm="1">
        <f t="array" ref="G190">_xlfn.IFS(B190="tt",E190/100*7*3900/1000,B190="order",E190/1000)</f>
        <v>277.914</v>
      </c>
      <c r="H190" t="str">
        <f t="shared" si="2"/>
        <v>202603</v>
      </c>
    </row>
    <row r="191" spans="1:8">
      <c r="A191" s="43">
        <v>46110</v>
      </c>
      <c r="B191" t="s">
        <v>9</v>
      </c>
      <c r="C191" t="s">
        <v>11</v>
      </c>
      <c r="D191">
        <v>75975</v>
      </c>
      <c r="E191">
        <v>18993</v>
      </c>
      <c r="F191" cm="1">
        <f t="array" ref="F191">_xlfn.IFS(B191="tt",D191/100*7*3900/1000,B191="order",D191/1000)</f>
        <v>20741.175</v>
      </c>
      <c r="G191" s="44" cm="1">
        <f t="array" ref="G191">_xlfn.IFS(B191="tt",E191/100*7*3900/1000,B191="order",E191/1000)</f>
        <v>5185.089</v>
      </c>
      <c r="H191" t="str">
        <f t="shared" si="2"/>
        <v>202603</v>
      </c>
    </row>
    <row r="192" spans="1:8">
      <c r="A192" s="43">
        <v>46111</v>
      </c>
      <c r="B192" t="s">
        <v>9</v>
      </c>
      <c r="C192" t="s">
        <v>11</v>
      </c>
      <c r="D192">
        <v>8065</v>
      </c>
      <c r="E192">
        <v>2016</v>
      </c>
      <c r="F192" cm="1">
        <f t="array" ref="F192">_xlfn.IFS(B192="tt",D192/100*7*3900/1000,B192="order",D192/1000)</f>
        <v>2201.745</v>
      </c>
      <c r="G192" s="44" cm="1">
        <f t="array" ref="G192">_xlfn.IFS(B192="tt",E192/100*7*3900/1000,B192="order",E192/1000)</f>
        <v>550.368</v>
      </c>
      <c r="H192" t="str">
        <f t="shared" si="2"/>
        <v>202603</v>
      </c>
    </row>
    <row r="193" spans="1:8">
      <c r="A193" s="43">
        <v>46112</v>
      </c>
      <c r="B193" t="s">
        <v>9</v>
      </c>
      <c r="C193" t="s">
        <v>11</v>
      </c>
      <c r="D193">
        <v>10337</v>
      </c>
      <c r="E193">
        <v>2584</v>
      </c>
      <c r="F193" cm="1">
        <f t="array" ref="F193">_xlfn.IFS(B193="tt",D193/100*7*3900/1000,B193="order",D193/1000)</f>
        <v>2822.001</v>
      </c>
      <c r="G193" s="44" cm="1">
        <f t="array" ref="G193">_xlfn.IFS(B193="tt",E193/100*7*3900/1000,B193="order",E193/1000)</f>
        <v>705.432</v>
      </c>
      <c r="H193" t="str">
        <f t="shared" si="2"/>
        <v>202603</v>
      </c>
    </row>
    <row r="194" spans="1:8">
      <c r="A194" s="43">
        <v>46113</v>
      </c>
      <c r="B194" t="s">
        <v>9</v>
      </c>
      <c r="C194" t="s">
        <v>11</v>
      </c>
      <c r="D194">
        <v>6645</v>
      </c>
      <c r="E194">
        <v>1661</v>
      </c>
      <c r="F194" cm="1">
        <f t="array" ref="F194">_xlfn.IFS(B194="tt",D194/100*7*3900/1000,B194="order",D194/1000)</f>
        <v>1814.085</v>
      </c>
      <c r="G194" s="44" cm="1">
        <f t="array" ref="G194">_xlfn.IFS(B194="tt",E194/100*7*3900/1000,B194="order",E194/1000)</f>
        <v>453.453</v>
      </c>
      <c r="H194" t="str">
        <f t="shared" si="2"/>
        <v>202604</v>
      </c>
    </row>
    <row r="195" spans="1:8">
      <c r="A195" s="43">
        <v>46115</v>
      </c>
      <c r="B195" t="s">
        <v>9</v>
      </c>
      <c r="C195" t="s">
        <v>11</v>
      </c>
      <c r="D195">
        <v>10091</v>
      </c>
      <c r="E195">
        <v>2522</v>
      </c>
      <c r="F195" cm="1">
        <f t="array" ref="F195">_xlfn.IFS(B195="tt",D195/100*7*3900/1000,B195="order",D195/1000)</f>
        <v>2754.843</v>
      </c>
      <c r="G195" s="44" cm="1">
        <f t="array" ref="G195">_xlfn.IFS(B195="tt",E195/100*7*3900/1000,B195="order",E195/1000)</f>
        <v>688.506</v>
      </c>
      <c r="H195" t="str">
        <f t="shared" ref="H195:H258" si="3">YEAR(A195)&amp;RIGHT("0"&amp;MONTH(A195),2)</f>
        <v>202604</v>
      </c>
    </row>
    <row r="196" spans="1:8">
      <c r="A196" s="43">
        <v>46116</v>
      </c>
      <c r="B196" t="s">
        <v>9</v>
      </c>
      <c r="C196" t="s">
        <v>11</v>
      </c>
      <c r="D196">
        <v>8256</v>
      </c>
      <c r="E196">
        <v>2064</v>
      </c>
      <c r="F196" cm="1">
        <f t="array" ref="F196">_xlfn.IFS(B196="tt",D196/100*7*3900/1000,B196="order",D196/1000)</f>
        <v>2253.888</v>
      </c>
      <c r="G196" s="44" cm="1">
        <f t="array" ref="G196">_xlfn.IFS(B196="tt",E196/100*7*3900/1000,B196="order",E196/1000)</f>
        <v>563.472</v>
      </c>
      <c r="H196" t="str">
        <f t="shared" si="3"/>
        <v>202604</v>
      </c>
    </row>
    <row r="197" spans="1:8">
      <c r="A197" s="43">
        <v>46117</v>
      </c>
      <c r="B197" t="s">
        <v>9</v>
      </c>
      <c r="C197" t="s">
        <v>11</v>
      </c>
      <c r="D197">
        <v>12302</v>
      </c>
      <c r="E197">
        <v>3075</v>
      </c>
      <c r="F197" cm="1">
        <f t="array" ref="F197">_xlfn.IFS(B197="tt",D197/100*7*3900/1000,B197="order",D197/1000)</f>
        <v>3358.446</v>
      </c>
      <c r="G197" s="44" cm="1">
        <f t="array" ref="G197">_xlfn.IFS(B197="tt",E197/100*7*3900/1000,B197="order",E197/1000)</f>
        <v>839.475</v>
      </c>
      <c r="H197" t="str">
        <f t="shared" si="3"/>
        <v>202604</v>
      </c>
    </row>
    <row r="198" spans="1:8">
      <c r="A198" s="43">
        <v>46118</v>
      </c>
      <c r="B198" t="s">
        <v>9</v>
      </c>
      <c r="C198" t="s">
        <v>11</v>
      </c>
      <c r="D198">
        <v>18358</v>
      </c>
      <c r="E198">
        <v>4589</v>
      </c>
      <c r="F198" cm="1">
        <f t="array" ref="F198">_xlfn.IFS(B198="tt",D198/100*7*3900/1000,B198="order",D198/1000)</f>
        <v>5011.734</v>
      </c>
      <c r="G198" s="44" cm="1">
        <f t="array" ref="G198">_xlfn.IFS(B198="tt",E198/100*7*3900/1000,B198="order",E198/1000)</f>
        <v>1252.797</v>
      </c>
      <c r="H198" t="str">
        <f t="shared" si="3"/>
        <v>202604</v>
      </c>
    </row>
    <row r="199" spans="1:8">
      <c r="A199" s="43">
        <v>46119</v>
      </c>
      <c r="B199" t="s">
        <v>9</v>
      </c>
      <c r="C199" t="s">
        <v>11</v>
      </c>
      <c r="D199">
        <v>14517</v>
      </c>
      <c r="E199">
        <v>3629</v>
      </c>
      <c r="F199" cm="1">
        <f t="array" ref="F199">_xlfn.IFS(B199="tt",D199/100*7*3900/1000,B199="order",D199/1000)</f>
        <v>3963.141</v>
      </c>
      <c r="G199" s="44" cm="1">
        <f t="array" ref="G199">_xlfn.IFS(B199="tt",E199/100*7*3900/1000,B199="order",E199/1000)</f>
        <v>990.717</v>
      </c>
      <c r="H199" t="str">
        <f t="shared" si="3"/>
        <v>202604</v>
      </c>
    </row>
    <row r="200" spans="1:8">
      <c r="A200" s="43">
        <v>46120</v>
      </c>
      <c r="B200" t="s">
        <v>9</v>
      </c>
      <c r="C200" t="s">
        <v>11</v>
      </c>
      <c r="D200">
        <v>5967</v>
      </c>
      <c r="E200">
        <v>1491</v>
      </c>
      <c r="F200" cm="1">
        <f t="array" ref="F200">_xlfn.IFS(B200="tt",D200/100*7*3900/1000,B200="order",D200/1000)</f>
        <v>1628.991</v>
      </c>
      <c r="G200" s="44" cm="1">
        <f t="array" ref="G200">_xlfn.IFS(B200="tt",E200/100*7*3900/1000,B200="order",E200/1000)</f>
        <v>407.043</v>
      </c>
      <c r="H200" t="str">
        <f t="shared" si="3"/>
        <v>202604</v>
      </c>
    </row>
    <row r="201" spans="1:8">
      <c r="A201" s="43">
        <v>46121</v>
      </c>
      <c r="B201" t="s">
        <v>9</v>
      </c>
      <c r="C201" t="s">
        <v>11</v>
      </c>
      <c r="D201">
        <v>39779</v>
      </c>
      <c r="E201">
        <v>9944</v>
      </c>
      <c r="F201" cm="1">
        <f t="array" ref="F201">_xlfn.IFS(B201="tt",D201/100*7*3900/1000,B201="order",D201/1000)</f>
        <v>10859.667</v>
      </c>
      <c r="G201" s="44" cm="1">
        <f t="array" ref="G201">_xlfn.IFS(B201="tt",E201/100*7*3900/1000,B201="order",E201/1000)</f>
        <v>2714.712</v>
      </c>
      <c r="H201" t="str">
        <f t="shared" si="3"/>
        <v>202604</v>
      </c>
    </row>
    <row r="202" spans="1:8">
      <c r="A202" s="43">
        <v>46027</v>
      </c>
      <c r="B202" t="s">
        <v>9</v>
      </c>
      <c r="C202" t="s">
        <v>18</v>
      </c>
      <c r="D202">
        <v>501</v>
      </c>
      <c r="E202">
        <v>0</v>
      </c>
      <c r="F202" cm="1">
        <f t="array" ref="F202">_xlfn.IFS(B202="tt",D202/100*7*3900/1000,B202="order",D202/1000)</f>
        <v>136.773</v>
      </c>
      <c r="G202" s="44" cm="1">
        <f t="array" ref="G202">_xlfn.IFS(B202="tt",E202/100*7*3900/1000,B202="order",E202/1000)</f>
        <v>0</v>
      </c>
      <c r="H202" t="str">
        <f t="shared" si="3"/>
        <v>202601</v>
      </c>
    </row>
    <row r="203" spans="1:8">
      <c r="A203" s="43">
        <v>46028</v>
      </c>
      <c r="B203" t="s">
        <v>9</v>
      </c>
      <c r="C203" t="s">
        <v>18</v>
      </c>
      <c r="D203">
        <v>961</v>
      </c>
      <c r="E203">
        <v>0</v>
      </c>
      <c r="F203" cm="1">
        <f t="array" ref="F203">_xlfn.IFS(B203="tt",D203/100*7*3900/1000,B203="order",D203/1000)</f>
        <v>262.353</v>
      </c>
      <c r="G203" s="44" cm="1">
        <f t="array" ref="G203">_xlfn.IFS(B203="tt",E203/100*7*3900/1000,B203="order",E203/1000)</f>
        <v>0</v>
      </c>
      <c r="H203" t="str">
        <f t="shared" si="3"/>
        <v>202601</v>
      </c>
    </row>
    <row r="204" spans="1:8">
      <c r="A204" s="43">
        <v>46030</v>
      </c>
      <c r="B204" t="s">
        <v>9</v>
      </c>
      <c r="C204" t="s">
        <v>18</v>
      </c>
      <c r="D204">
        <v>1599</v>
      </c>
      <c r="E204">
        <v>0</v>
      </c>
      <c r="F204" cm="1">
        <f t="array" ref="F204">_xlfn.IFS(B204="tt",D204/100*7*3900/1000,B204="order",D204/1000)</f>
        <v>436.527</v>
      </c>
      <c r="G204" s="44" cm="1">
        <f t="array" ref="G204">_xlfn.IFS(B204="tt",E204/100*7*3900/1000,B204="order",E204/1000)</f>
        <v>0</v>
      </c>
      <c r="H204" t="str">
        <f t="shared" si="3"/>
        <v>202601</v>
      </c>
    </row>
    <row r="205" spans="1:8">
      <c r="A205" s="43">
        <v>46031</v>
      </c>
      <c r="B205" t="s">
        <v>9</v>
      </c>
      <c r="C205" t="s">
        <v>18</v>
      </c>
      <c r="D205">
        <v>2811</v>
      </c>
      <c r="E205">
        <v>0</v>
      </c>
      <c r="F205" cm="1">
        <f t="array" ref="F205">_xlfn.IFS(B205="tt",D205/100*7*3900/1000,B205="order",D205/1000)</f>
        <v>767.403</v>
      </c>
      <c r="G205" s="44" cm="1">
        <f t="array" ref="G205">_xlfn.IFS(B205="tt",E205/100*7*3900/1000,B205="order",E205/1000)</f>
        <v>0</v>
      </c>
      <c r="H205" t="str">
        <f t="shared" si="3"/>
        <v>202601</v>
      </c>
    </row>
    <row r="206" spans="1:8">
      <c r="A206" s="43">
        <v>46034</v>
      </c>
      <c r="B206" t="s">
        <v>9</v>
      </c>
      <c r="C206" t="s">
        <v>18</v>
      </c>
      <c r="D206">
        <v>1033</v>
      </c>
      <c r="E206">
        <v>0</v>
      </c>
      <c r="F206" cm="1">
        <f t="array" ref="F206">_xlfn.IFS(B206="tt",D206/100*7*3900/1000,B206="order",D206/1000)</f>
        <v>282.009</v>
      </c>
      <c r="G206" s="44" cm="1">
        <f t="array" ref="G206">_xlfn.IFS(B206="tt",E206/100*7*3900/1000,B206="order",E206/1000)</f>
        <v>0</v>
      </c>
      <c r="H206" t="str">
        <f t="shared" si="3"/>
        <v>202601</v>
      </c>
    </row>
    <row r="207" spans="1:8">
      <c r="A207" s="43">
        <v>46035</v>
      </c>
      <c r="B207" t="s">
        <v>9</v>
      </c>
      <c r="C207" t="s">
        <v>18</v>
      </c>
      <c r="D207">
        <v>2492</v>
      </c>
      <c r="E207">
        <v>0</v>
      </c>
      <c r="F207" cm="1">
        <f t="array" ref="F207">_xlfn.IFS(B207="tt",D207/100*7*3900/1000,B207="order",D207/1000)</f>
        <v>680.316</v>
      </c>
      <c r="G207" s="44" cm="1">
        <f t="array" ref="G207">_xlfn.IFS(B207="tt",E207/100*7*3900/1000,B207="order",E207/1000)</f>
        <v>0</v>
      </c>
      <c r="H207" t="str">
        <f t="shared" si="3"/>
        <v>202601</v>
      </c>
    </row>
    <row r="208" spans="1:8">
      <c r="A208" s="43">
        <v>46036</v>
      </c>
      <c r="B208" t="s">
        <v>9</v>
      </c>
      <c r="C208" t="s">
        <v>18</v>
      </c>
      <c r="D208">
        <v>1110</v>
      </c>
      <c r="E208">
        <v>0</v>
      </c>
      <c r="F208" cm="1">
        <f t="array" ref="F208">_xlfn.IFS(B208="tt",D208/100*7*3900/1000,B208="order",D208/1000)</f>
        <v>303.03</v>
      </c>
      <c r="G208" s="44" cm="1">
        <f t="array" ref="G208">_xlfn.IFS(B208="tt",E208/100*7*3900/1000,B208="order",E208/1000)</f>
        <v>0</v>
      </c>
      <c r="H208" t="str">
        <f t="shared" si="3"/>
        <v>202601</v>
      </c>
    </row>
    <row r="209" spans="1:8">
      <c r="A209" s="43">
        <v>46037</v>
      </c>
      <c r="B209" t="s">
        <v>9</v>
      </c>
      <c r="C209" t="s">
        <v>18</v>
      </c>
      <c r="D209">
        <v>2344</v>
      </c>
      <c r="E209">
        <v>0</v>
      </c>
      <c r="F209" cm="1">
        <f t="array" ref="F209">_xlfn.IFS(B209="tt",D209/100*7*3900/1000,B209="order",D209/1000)</f>
        <v>639.912</v>
      </c>
      <c r="G209" s="44" cm="1">
        <f t="array" ref="G209">_xlfn.IFS(B209="tt",E209/100*7*3900/1000,B209="order",E209/1000)</f>
        <v>0</v>
      </c>
      <c r="H209" t="str">
        <f t="shared" si="3"/>
        <v>202601</v>
      </c>
    </row>
    <row r="210" spans="1:8">
      <c r="A210" s="43">
        <v>46039</v>
      </c>
      <c r="B210" t="s">
        <v>9</v>
      </c>
      <c r="C210" t="s">
        <v>18</v>
      </c>
      <c r="D210">
        <v>1126</v>
      </c>
      <c r="E210">
        <v>0</v>
      </c>
      <c r="F210" cm="1">
        <f t="array" ref="F210">_xlfn.IFS(B210="tt",D210/100*7*3900/1000,B210="order",D210/1000)</f>
        <v>307.398</v>
      </c>
      <c r="G210" s="44" cm="1">
        <f t="array" ref="G210">_xlfn.IFS(B210="tt",E210/100*7*3900/1000,B210="order",E210/1000)</f>
        <v>0</v>
      </c>
      <c r="H210" t="str">
        <f t="shared" si="3"/>
        <v>202601</v>
      </c>
    </row>
    <row r="211" spans="1:8">
      <c r="A211" s="43">
        <v>46040</v>
      </c>
      <c r="B211" t="s">
        <v>9</v>
      </c>
      <c r="C211" t="s">
        <v>18</v>
      </c>
      <c r="D211">
        <v>4012</v>
      </c>
      <c r="E211">
        <v>0</v>
      </c>
      <c r="F211" cm="1">
        <f t="array" ref="F211">_xlfn.IFS(B211="tt",D211/100*7*3900/1000,B211="order",D211/1000)</f>
        <v>1095.276</v>
      </c>
      <c r="G211" s="44" cm="1">
        <f t="array" ref="G211">_xlfn.IFS(B211="tt",E211/100*7*3900/1000,B211="order",E211/1000)</f>
        <v>0</v>
      </c>
      <c r="H211" t="str">
        <f t="shared" si="3"/>
        <v>202601</v>
      </c>
    </row>
    <row r="212" spans="1:8">
      <c r="A212" s="43">
        <v>46041</v>
      </c>
      <c r="B212" t="s">
        <v>9</v>
      </c>
      <c r="C212" t="s">
        <v>18</v>
      </c>
      <c r="D212">
        <v>2705</v>
      </c>
      <c r="E212">
        <v>0</v>
      </c>
      <c r="F212" cm="1">
        <f t="array" ref="F212">_xlfn.IFS(B212="tt",D212/100*7*3900/1000,B212="order",D212/1000)</f>
        <v>738.465</v>
      </c>
      <c r="G212" s="44" cm="1">
        <f t="array" ref="G212">_xlfn.IFS(B212="tt",E212/100*7*3900/1000,B212="order",E212/1000)</f>
        <v>0</v>
      </c>
      <c r="H212" t="str">
        <f t="shared" si="3"/>
        <v>202601</v>
      </c>
    </row>
    <row r="213" spans="1:8">
      <c r="A213" s="43">
        <v>46042</v>
      </c>
      <c r="B213" t="s">
        <v>9</v>
      </c>
      <c r="C213" t="s">
        <v>18</v>
      </c>
      <c r="D213">
        <v>837</v>
      </c>
      <c r="E213">
        <v>0</v>
      </c>
      <c r="F213" cm="1">
        <f t="array" ref="F213">_xlfn.IFS(B213="tt",D213/100*7*3900/1000,B213="order",D213/1000)</f>
        <v>228.501</v>
      </c>
      <c r="G213" s="44" cm="1">
        <f t="array" ref="G213">_xlfn.IFS(B213="tt",E213/100*7*3900/1000,B213="order",E213/1000)</f>
        <v>0</v>
      </c>
      <c r="H213" t="str">
        <f t="shared" si="3"/>
        <v>202601</v>
      </c>
    </row>
    <row r="214" spans="1:8">
      <c r="A214" s="43">
        <v>46043</v>
      </c>
      <c r="B214" t="s">
        <v>9</v>
      </c>
      <c r="C214" t="s">
        <v>18</v>
      </c>
      <c r="D214">
        <v>1647</v>
      </c>
      <c r="E214">
        <v>0</v>
      </c>
      <c r="F214" cm="1">
        <f t="array" ref="F214">_xlfn.IFS(B214="tt",D214/100*7*3900/1000,B214="order",D214/1000)</f>
        <v>449.631</v>
      </c>
      <c r="G214" s="44" cm="1">
        <f t="array" ref="G214">_xlfn.IFS(B214="tt",E214/100*7*3900/1000,B214="order",E214/1000)</f>
        <v>0</v>
      </c>
      <c r="H214" t="str">
        <f t="shared" si="3"/>
        <v>202601</v>
      </c>
    </row>
    <row r="215" spans="1:8">
      <c r="A215" s="43">
        <v>46044</v>
      </c>
      <c r="B215" t="s">
        <v>9</v>
      </c>
      <c r="C215" t="s">
        <v>18</v>
      </c>
      <c r="D215">
        <v>1580</v>
      </c>
      <c r="E215">
        <v>0</v>
      </c>
      <c r="F215" cm="1">
        <f t="array" ref="F215">_xlfn.IFS(B215="tt",D215/100*7*3900/1000,B215="order",D215/1000)</f>
        <v>431.34</v>
      </c>
      <c r="G215" s="44" cm="1">
        <f t="array" ref="G215">_xlfn.IFS(B215="tt",E215/100*7*3900/1000,B215="order",E215/1000)</f>
        <v>0</v>
      </c>
      <c r="H215" t="str">
        <f t="shared" si="3"/>
        <v>202601</v>
      </c>
    </row>
    <row r="216" spans="1:8">
      <c r="A216" s="43">
        <v>46046</v>
      </c>
      <c r="B216" t="s">
        <v>9</v>
      </c>
      <c r="C216" t="s">
        <v>18</v>
      </c>
      <c r="D216">
        <v>2241</v>
      </c>
      <c r="E216">
        <v>0</v>
      </c>
      <c r="F216" cm="1">
        <f t="array" ref="F216">_xlfn.IFS(B216="tt",D216/100*7*3900/1000,B216="order",D216/1000)</f>
        <v>611.793</v>
      </c>
      <c r="G216" s="44" cm="1">
        <f t="array" ref="G216">_xlfn.IFS(B216="tt",E216/100*7*3900/1000,B216="order",E216/1000)</f>
        <v>0</v>
      </c>
      <c r="H216" t="str">
        <f t="shared" si="3"/>
        <v>202601</v>
      </c>
    </row>
    <row r="217" spans="1:8">
      <c r="A217" s="43">
        <v>46047</v>
      </c>
      <c r="B217" t="s">
        <v>9</v>
      </c>
      <c r="C217" t="s">
        <v>18</v>
      </c>
      <c r="D217">
        <v>4824</v>
      </c>
      <c r="E217">
        <v>0</v>
      </c>
      <c r="F217" cm="1">
        <f t="array" ref="F217">_xlfn.IFS(B217="tt",D217/100*7*3900/1000,B217="order",D217/1000)</f>
        <v>1316.952</v>
      </c>
      <c r="G217" s="44" cm="1">
        <f t="array" ref="G217">_xlfn.IFS(B217="tt",E217/100*7*3900/1000,B217="order",E217/1000)</f>
        <v>0</v>
      </c>
      <c r="H217" t="str">
        <f t="shared" si="3"/>
        <v>202601</v>
      </c>
    </row>
    <row r="218" spans="1:8">
      <c r="A218" s="43">
        <v>46048</v>
      </c>
      <c r="B218" t="s">
        <v>9</v>
      </c>
      <c r="C218" t="s">
        <v>18</v>
      </c>
      <c r="D218">
        <v>7678</v>
      </c>
      <c r="E218">
        <v>0</v>
      </c>
      <c r="F218" cm="1">
        <f t="array" ref="F218">_xlfn.IFS(B218="tt",D218/100*7*3900/1000,B218="order",D218/1000)</f>
        <v>2096.094</v>
      </c>
      <c r="G218" s="44" cm="1">
        <f t="array" ref="G218">_xlfn.IFS(B218="tt",E218/100*7*3900/1000,B218="order",E218/1000)</f>
        <v>0</v>
      </c>
      <c r="H218" t="str">
        <f t="shared" si="3"/>
        <v>202601</v>
      </c>
    </row>
    <row r="219" spans="1:8">
      <c r="A219" s="43">
        <v>46049</v>
      </c>
      <c r="B219" t="s">
        <v>9</v>
      </c>
      <c r="C219" t="s">
        <v>18</v>
      </c>
      <c r="D219">
        <v>6707</v>
      </c>
      <c r="E219">
        <v>0</v>
      </c>
      <c r="F219" cm="1">
        <f t="array" ref="F219">_xlfn.IFS(B219="tt",D219/100*7*3900/1000,B219="order",D219/1000)</f>
        <v>1831.011</v>
      </c>
      <c r="G219" s="44" cm="1">
        <f t="array" ref="G219">_xlfn.IFS(B219="tt",E219/100*7*3900/1000,B219="order",E219/1000)</f>
        <v>0</v>
      </c>
      <c r="H219" t="str">
        <f t="shared" si="3"/>
        <v>202601</v>
      </c>
    </row>
    <row r="220" spans="1:8">
      <c r="A220" s="43">
        <v>46050</v>
      </c>
      <c r="B220" t="s">
        <v>9</v>
      </c>
      <c r="C220" t="s">
        <v>18</v>
      </c>
      <c r="D220">
        <v>5313</v>
      </c>
      <c r="E220">
        <v>0</v>
      </c>
      <c r="F220" cm="1">
        <f t="array" ref="F220">_xlfn.IFS(B220="tt",D220/100*7*3900/1000,B220="order",D220/1000)</f>
        <v>1450.449</v>
      </c>
      <c r="G220" s="44" cm="1">
        <f t="array" ref="G220">_xlfn.IFS(B220="tt",E220/100*7*3900/1000,B220="order",E220/1000)</f>
        <v>0</v>
      </c>
      <c r="H220" t="str">
        <f t="shared" si="3"/>
        <v>202601</v>
      </c>
    </row>
    <row r="221" spans="1:8">
      <c r="A221" s="43">
        <v>46051</v>
      </c>
      <c r="B221" t="s">
        <v>9</v>
      </c>
      <c r="C221" t="s">
        <v>18</v>
      </c>
      <c r="D221">
        <v>3693</v>
      </c>
      <c r="E221">
        <v>0</v>
      </c>
      <c r="F221" cm="1">
        <f t="array" ref="F221">_xlfn.IFS(B221="tt",D221/100*7*3900/1000,B221="order",D221/1000)</f>
        <v>1008.189</v>
      </c>
      <c r="G221" s="44" cm="1">
        <f t="array" ref="G221">_xlfn.IFS(B221="tt",E221/100*7*3900/1000,B221="order",E221/1000)</f>
        <v>0</v>
      </c>
      <c r="H221" t="str">
        <f t="shared" si="3"/>
        <v>202601</v>
      </c>
    </row>
    <row r="222" spans="1:8">
      <c r="A222" s="43">
        <v>46053</v>
      </c>
      <c r="B222" t="s">
        <v>9</v>
      </c>
      <c r="C222" t="s">
        <v>18</v>
      </c>
      <c r="D222">
        <v>24124</v>
      </c>
      <c r="E222">
        <v>0</v>
      </c>
      <c r="F222" cm="1">
        <f t="array" ref="F222">_xlfn.IFS(B222="tt",D222/100*7*3900/1000,B222="order",D222/1000)</f>
        <v>6585.852</v>
      </c>
      <c r="G222" s="44" cm="1">
        <f t="array" ref="G222">_xlfn.IFS(B222="tt",E222/100*7*3900/1000,B222="order",E222/1000)</f>
        <v>0</v>
      </c>
      <c r="H222" t="str">
        <f t="shared" si="3"/>
        <v>202601</v>
      </c>
    </row>
    <row r="223" spans="1:8">
      <c r="A223" s="43">
        <v>46054</v>
      </c>
      <c r="B223" t="s">
        <v>9</v>
      </c>
      <c r="C223" t="s">
        <v>18</v>
      </c>
      <c r="D223">
        <v>5068</v>
      </c>
      <c r="E223">
        <v>0</v>
      </c>
      <c r="F223" cm="1">
        <f t="array" ref="F223">_xlfn.IFS(B223="tt",D223/100*7*3900/1000,B223="order",D223/1000)</f>
        <v>1383.564</v>
      </c>
      <c r="G223" s="44" cm="1">
        <f t="array" ref="G223">_xlfn.IFS(B223="tt",E223/100*7*3900/1000,B223="order",E223/1000)</f>
        <v>0</v>
      </c>
      <c r="H223" t="str">
        <f t="shared" si="3"/>
        <v>202602</v>
      </c>
    </row>
    <row r="224" spans="1:8">
      <c r="A224" s="43">
        <v>46055</v>
      </c>
      <c r="B224" t="s">
        <v>9</v>
      </c>
      <c r="C224" t="s">
        <v>18</v>
      </c>
      <c r="D224">
        <v>8115</v>
      </c>
      <c r="E224">
        <v>0</v>
      </c>
      <c r="F224" cm="1">
        <f t="array" ref="F224">_xlfn.IFS(B224="tt",D224/100*7*3900/1000,B224="order",D224/1000)</f>
        <v>2215.395</v>
      </c>
      <c r="G224" s="44" cm="1">
        <f t="array" ref="G224">_xlfn.IFS(B224="tt",E224/100*7*3900/1000,B224="order",E224/1000)</f>
        <v>0</v>
      </c>
      <c r="H224" t="str">
        <f t="shared" si="3"/>
        <v>202602</v>
      </c>
    </row>
    <row r="225" spans="1:8">
      <c r="A225" s="43">
        <v>46056</v>
      </c>
      <c r="B225" t="s">
        <v>9</v>
      </c>
      <c r="C225" t="s">
        <v>18</v>
      </c>
      <c r="D225">
        <v>5186</v>
      </c>
      <c r="E225">
        <v>0</v>
      </c>
      <c r="F225" cm="1">
        <f t="array" ref="F225">_xlfn.IFS(B225="tt",D225/100*7*3900/1000,B225="order",D225/1000)</f>
        <v>1415.778</v>
      </c>
      <c r="G225" s="44" cm="1">
        <f t="array" ref="G225">_xlfn.IFS(B225="tt",E225/100*7*3900/1000,B225="order",E225/1000)</f>
        <v>0</v>
      </c>
      <c r="H225" t="str">
        <f t="shared" si="3"/>
        <v>202602</v>
      </c>
    </row>
    <row r="226" spans="1:8">
      <c r="A226" s="43">
        <v>46057</v>
      </c>
      <c r="B226" t="s">
        <v>9</v>
      </c>
      <c r="C226" t="s">
        <v>18</v>
      </c>
      <c r="D226">
        <v>13854</v>
      </c>
      <c r="E226">
        <v>0</v>
      </c>
      <c r="F226" cm="1">
        <f t="array" ref="F226">_xlfn.IFS(B226="tt",D226/100*7*3900/1000,B226="order",D226/1000)</f>
        <v>3782.142</v>
      </c>
      <c r="G226" s="44" cm="1">
        <f t="array" ref="G226">_xlfn.IFS(B226="tt",E226/100*7*3900/1000,B226="order",E226/1000)</f>
        <v>0</v>
      </c>
      <c r="H226" t="str">
        <f t="shared" si="3"/>
        <v>202602</v>
      </c>
    </row>
    <row r="227" spans="1:8">
      <c r="A227" s="43">
        <v>46058</v>
      </c>
      <c r="B227" t="s">
        <v>9</v>
      </c>
      <c r="C227" t="s">
        <v>18</v>
      </c>
      <c r="D227">
        <v>2624</v>
      </c>
      <c r="E227">
        <v>0</v>
      </c>
      <c r="F227" cm="1">
        <f t="array" ref="F227">_xlfn.IFS(B227="tt",D227/100*7*3900/1000,B227="order",D227/1000)</f>
        <v>716.352</v>
      </c>
      <c r="G227" s="44" cm="1">
        <f t="array" ref="G227">_xlfn.IFS(B227="tt",E227/100*7*3900/1000,B227="order",E227/1000)</f>
        <v>0</v>
      </c>
      <c r="H227" t="str">
        <f t="shared" si="3"/>
        <v>202602</v>
      </c>
    </row>
    <row r="228" spans="1:8">
      <c r="A228" s="43">
        <v>46060</v>
      </c>
      <c r="B228" t="s">
        <v>9</v>
      </c>
      <c r="C228" t="s">
        <v>18</v>
      </c>
      <c r="D228">
        <v>5725</v>
      </c>
      <c r="E228">
        <v>0</v>
      </c>
      <c r="F228" cm="1">
        <f t="array" ref="F228">_xlfn.IFS(B228="tt",D228/100*7*3900/1000,B228="order",D228/1000)</f>
        <v>1562.925</v>
      </c>
      <c r="G228" s="44" cm="1">
        <f t="array" ref="G228">_xlfn.IFS(B228="tt",E228/100*7*3900/1000,B228="order",E228/1000)</f>
        <v>0</v>
      </c>
      <c r="H228" t="str">
        <f t="shared" si="3"/>
        <v>202602</v>
      </c>
    </row>
    <row r="229" spans="1:8">
      <c r="A229" s="43">
        <v>46061</v>
      </c>
      <c r="B229" t="s">
        <v>9</v>
      </c>
      <c r="C229" t="s">
        <v>18</v>
      </c>
      <c r="D229">
        <v>16200</v>
      </c>
      <c r="E229">
        <v>0</v>
      </c>
      <c r="F229" cm="1">
        <f t="array" ref="F229">_xlfn.IFS(B229="tt",D229/100*7*3900/1000,B229="order",D229/1000)</f>
        <v>4422.6</v>
      </c>
      <c r="G229" s="44" cm="1">
        <f t="array" ref="G229">_xlfn.IFS(B229="tt",E229/100*7*3900/1000,B229="order",E229/1000)</f>
        <v>0</v>
      </c>
      <c r="H229" t="str">
        <f t="shared" si="3"/>
        <v>202602</v>
      </c>
    </row>
    <row r="230" spans="1:8">
      <c r="A230" s="43">
        <v>46062</v>
      </c>
      <c r="B230" t="s">
        <v>9</v>
      </c>
      <c r="C230" t="s">
        <v>18</v>
      </c>
      <c r="D230">
        <v>8571</v>
      </c>
      <c r="E230">
        <v>0</v>
      </c>
      <c r="F230" cm="1">
        <f t="array" ref="F230">_xlfn.IFS(B230="tt",D230/100*7*3900/1000,B230="order",D230/1000)</f>
        <v>2339.883</v>
      </c>
      <c r="G230" s="44" cm="1">
        <f t="array" ref="G230">_xlfn.IFS(B230="tt",E230/100*7*3900/1000,B230="order",E230/1000)</f>
        <v>0</v>
      </c>
      <c r="H230" t="str">
        <f t="shared" si="3"/>
        <v>202602</v>
      </c>
    </row>
    <row r="231" spans="1:8">
      <c r="A231" s="43">
        <v>46063</v>
      </c>
      <c r="B231" t="s">
        <v>9</v>
      </c>
      <c r="C231" t="s">
        <v>18</v>
      </c>
      <c r="D231">
        <v>18811</v>
      </c>
      <c r="E231">
        <v>0</v>
      </c>
      <c r="F231" cm="1">
        <f t="array" ref="F231">_xlfn.IFS(B231="tt",D231/100*7*3900/1000,B231="order",D231/1000)</f>
        <v>5135.403</v>
      </c>
      <c r="G231" s="44" cm="1">
        <f t="array" ref="G231">_xlfn.IFS(B231="tt",E231/100*7*3900/1000,B231="order",E231/1000)</f>
        <v>0</v>
      </c>
      <c r="H231" t="str">
        <f t="shared" si="3"/>
        <v>202602</v>
      </c>
    </row>
    <row r="232" spans="1:8">
      <c r="A232" s="43">
        <v>46064</v>
      </c>
      <c r="B232" t="s">
        <v>9</v>
      </c>
      <c r="C232" t="s">
        <v>18</v>
      </c>
      <c r="D232">
        <v>16630</v>
      </c>
      <c r="E232">
        <v>0</v>
      </c>
      <c r="F232" cm="1">
        <f t="array" ref="F232">_xlfn.IFS(B232="tt",D232/100*7*3900/1000,B232="order",D232/1000)</f>
        <v>4539.99</v>
      </c>
      <c r="G232" s="44" cm="1">
        <f t="array" ref="G232">_xlfn.IFS(B232="tt",E232/100*7*3900/1000,B232="order",E232/1000)</f>
        <v>0</v>
      </c>
      <c r="H232" t="str">
        <f t="shared" si="3"/>
        <v>202602</v>
      </c>
    </row>
    <row r="233" spans="1:8">
      <c r="A233" s="43">
        <v>46065</v>
      </c>
      <c r="B233" t="s">
        <v>9</v>
      </c>
      <c r="C233" t="s">
        <v>18</v>
      </c>
      <c r="D233">
        <v>10937</v>
      </c>
      <c r="E233">
        <v>0</v>
      </c>
      <c r="F233" cm="1">
        <f t="array" ref="F233">_xlfn.IFS(B233="tt",D233/100*7*3900/1000,B233="order",D233/1000)</f>
        <v>2985.801</v>
      </c>
      <c r="G233" s="44" cm="1">
        <f t="array" ref="G233">_xlfn.IFS(B233="tt",E233/100*7*3900/1000,B233="order",E233/1000)</f>
        <v>0</v>
      </c>
      <c r="H233" t="str">
        <f t="shared" si="3"/>
        <v>202602</v>
      </c>
    </row>
    <row r="234" spans="1:8">
      <c r="A234" s="43">
        <v>46068</v>
      </c>
      <c r="B234" t="s">
        <v>9</v>
      </c>
      <c r="C234" t="s">
        <v>18</v>
      </c>
      <c r="D234">
        <v>7578</v>
      </c>
      <c r="E234">
        <v>0</v>
      </c>
      <c r="F234" cm="1">
        <f t="array" ref="F234">_xlfn.IFS(B234="tt",D234/100*7*3900/1000,B234="order",D234/1000)</f>
        <v>2068.794</v>
      </c>
      <c r="G234" s="44" cm="1">
        <f t="array" ref="G234">_xlfn.IFS(B234="tt",E234/100*7*3900/1000,B234="order",E234/1000)</f>
        <v>0</v>
      </c>
      <c r="H234" t="str">
        <f t="shared" si="3"/>
        <v>202602</v>
      </c>
    </row>
    <row r="235" spans="1:8">
      <c r="A235" s="43">
        <v>46069</v>
      </c>
      <c r="B235" t="s">
        <v>9</v>
      </c>
      <c r="C235" t="s">
        <v>18</v>
      </c>
      <c r="D235">
        <v>5414</v>
      </c>
      <c r="E235">
        <v>0</v>
      </c>
      <c r="F235" cm="1">
        <f t="array" ref="F235">_xlfn.IFS(B235="tt",D235/100*7*3900/1000,B235="order",D235/1000)</f>
        <v>1478.022</v>
      </c>
      <c r="G235" s="44" cm="1">
        <f t="array" ref="G235">_xlfn.IFS(B235="tt",E235/100*7*3900/1000,B235="order",E235/1000)</f>
        <v>0</v>
      </c>
      <c r="H235" t="str">
        <f t="shared" si="3"/>
        <v>202602</v>
      </c>
    </row>
    <row r="236" spans="1:8">
      <c r="A236" s="43">
        <v>46072</v>
      </c>
      <c r="B236" t="s">
        <v>9</v>
      </c>
      <c r="C236" t="s">
        <v>18</v>
      </c>
      <c r="D236">
        <v>2543</v>
      </c>
      <c r="E236">
        <v>0</v>
      </c>
      <c r="F236" cm="1">
        <f t="array" ref="F236">_xlfn.IFS(B236="tt",D236/100*7*3900/1000,B236="order",D236/1000)</f>
        <v>694.239</v>
      </c>
      <c r="G236" s="44" cm="1">
        <f t="array" ref="G236">_xlfn.IFS(B236="tt",E236/100*7*3900/1000,B236="order",E236/1000)</f>
        <v>0</v>
      </c>
      <c r="H236" t="str">
        <f t="shared" si="3"/>
        <v>202602</v>
      </c>
    </row>
    <row r="237" spans="1:8">
      <c r="A237" s="43">
        <v>46073</v>
      </c>
      <c r="B237" t="s">
        <v>9</v>
      </c>
      <c r="C237" t="s">
        <v>18</v>
      </c>
      <c r="D237">
        <v>3141</v>
      </c>
      <c r="E237">
        <v>0</v>
      </c>
      <c r="F237" cm="1">
        <f t="array" ref="F237">_xlfn.IFS(B237="tt",D237/100*7*3900/1000,B237="order",D237/1000)</f>
        <v>857.493</v>
      </c>
      <c r="G237" s="44" cm="1">
        <f t="array" ref="G237">_xlfn.IFS(B237="tt",E237/100*7*3900/1000,B237="order",E237/1000)</f>
        <v>0</v>
      </c>
      <c r="H237" t="str">
        <f t="shared" si="3"/>
        <v>202602</v>
      </c>
    </row>
    <row r="238" spans="1:8">
      <c r="A238" s="43">
        <v>46074</v>
      </c>
      <c r="B238" t="s">
        <v>9</v>
      </c>
      <c r="C238" t="s">
        <v>18</v>
      </c>
      <c r="D238">
        <v>2760</v>
      </c>
      <c r="E238">
        <v>0</v>
      </c>
      <c r="F238" cm="1">
        <f t="array" ref="F238">_xlfn.IFS(B238="tt",D238/100*7*3900/1000,B238="order",D238/1000)</f>
        <v>753.48</v>
      </c>
      <c r="G238" s="44" cm="1">
        <f t="array" ref="G238">_xlfn.IFS(B238="tt",E238/100*7*3900/1000,B238="order",E238/1000)</f>
        <v>0</v>
      </c>
      <c r="H238" t="str">
        <f t="shared" si="3"/>
        <v>202602</v>
      </c>
    </row>
    <row r="239" spans="1:8">
      <c r="A239" s="43">
        <v>46075</v>
      </c>
      <c r="B239" t="s">
        <v>9</v>
      </c>
      <c r="C239" t="s">
        <v>18</v>
      </c>
      <c r="D239">
        <v>12239</v>
      </c>
      <c r="E239">
        <v>0</v>
      </c>
      <c r="F239" cm="1">
        <f t="array" ref="F239">_xlfn.IFS(B239="tt",D239/100*7*3900/1000,B239="order",D239/1000)</f>
        <v>3341.247</v>
      </c>
      <c r="G239" s="44" cm="1">
        <f t="array" ref="G239">_xlfn.IFS(B239="tt",E239/100*7*3900/1000,B239="order",E239/1000)</f>
        <v>0</v>
      </c>
      <c r="H239" t="str">
        <f t="shared" si="3"/>
        <v>202602</v>
      </c>
    </row>
    <row r="240" spans="1:8">
      <c r="A240" s="43">
        <v>46076</v>
      </c>
      <c r="B240" t="s">
        <v>9</v>
      </c>
      <c r="C240" t="s">
        <v>18</v>
      </c>
      <c r="D240">
        <v>5055</v>
      </c>
      <c r="E240">
        <v>0</v>
      </c>
      <c r="F240" cm="1">
        <f t="array" ref="F240">_xlfn.IFS(B240="tt",D240/100*7*3900/1000,B240="order",D240/1000)</f>
        <v>1380.015</v>
      </c>
      <c r="G240" s="44" cm="1">
        <f t="array" ref="G240">_xlfn.IFS(B240="tt",E240/100*7*3900/1000,B240="order",E240/1000)</f>
        <v>0</v>
      </c>
      <c r="H240" t="str">
        <f t="shared" si="3"/>
        <v>202602</v>
      </c>
    </row>
    <row r="241" spans="1:8">
      <c r="A241" s="43">
        <v>46077</v>
      </c>
      <c r="B241" t="s">
        <v>9</v>
      </c>
      <c r="C241" t="s">
        <v>18</v>
      </c>
      <c r="D241">
        <v>5170</v>
      </c>
      <c r="E241">
        <v>0</v>
      </c>
      <c r="F241" cm="1">
        <f t="array" ref="F241">_xlfn.IFS(B241="tt",D241/100*7*3900/1000,B241="order",D241/1000)</f>
        <v>1411.41</v>
      </c>
      <c r="G241" s="44" cm="1">
        <f t="array" ref="G241">_xlfn.IFS(B241="tt",E241/100*7*3900/1000,B241="order",E241/1000)</f>
        <v>0</v>
      </c>
      <c r="H241" t="str">
        <f t="shared" si="3"/>
        <v>202602</v>
      </c>
    </row>
    <row r="242" spans="1:8">
      <c r="A242" s="43">
        <v>46078</v>
      </c>
      <c r="B242" t="s">
        <v>9</v>
      </c>
      <c r="C242" t="s">
        <v>18</v>
      </c>
      <c r="D242">
        <v>6650</v>
      </c>
      <c r="E242">
        <v>0</v>
      </c>
      <c r="F242" cm="1">
        <f t="array" ref="F242">_xlfn.IFS(B242="tt",D242/100*7*3900/1000,B242="order",D242/1000)</f>
        <v>1815.45</v>
      </c>
      <c r="G242" s="44" cm="1">
        <f t="array" ref="G242">_xlfn.IFS(B242="tt",E242/100*7*3900/1000,B242="order",E242/1000)</f>
        <v>0</v>
      </c>
      <c r="H242" t="str">
        <f t="shared" si="3"/>
        <v>202602</v>
      </c>
    </row>
    <row r="243" spans="1:8">
      <c r="A243" s="43">
        <v>46079</v>
      </c>
      <c r="B243" t="s">
        <v>9</v>
      </c>
      <c r="C243" t="s">
        <v>18</v>
      </c>
      <c r="D243">
        <v>8025</v>
      </c>
      <c r="E243">
        <v>0</v>
      </c>
      <c r="F243" cm="1">
        <f t="array" ref="F243">_xlfn.IFS(B243="tt",D243/100*7*3900/1000,B243="order",D243/1000)</f>
        <v>2190.825</v>
      </c>
      <c r="G243" s="44" cm="1">
        <f t="array" ref="G243">_xlfn.IFS(B243="tt",E243/100*7*3900/1000,B243="order",E243/1000)</f>
        <v>0</v>
      </c>
      <c r="H243" t="str">
        <f t="shared" si="3"/>
        <v>202602</v>
      </c>
    </row>
    <row r="244" spans="1:8">
      <c r="A244" s="43">
        <v>46081</v>
      </c>
      <c r="B244" t="s">
        <v>9</v>
      </c>
      <c r="C244" t="s">
        <v>18</v>
      </c>
      <c r="D244">
        <v>16835</v>
      </c>
      <c r="E244">
        <v>0</v>
      </c>
      <c r="F244" cm="1">
        <f t="array" ref="F244">_xlfn.IFS(B244="tt",D244/100*7*3900/1000,B244="order",D244/1000)</f>
        <v>4595.955</v>
      </c>
      <c r="G244" s="44" cm="1">
        <f t="array" ref="G244">_xlfn.IFS(B244="tt",E244/100*7*3900/1000,B244="order",E244/1000)</f>
        <v>0</v>
      </c>
      <c r="H244" t="str">
        <f t="shared" si="3"/>
        <v>202602</v>
      </c>
    </row>
    <row r="245" spans="1:8">
      <c r="A245" s="43">
        <v>46082</v>
      </c>
      <c r="B245" t="s">
        <v>9</v>
      </c>
      <c r="C245" t="s">
        <v>18</v>
      </c>
      <c r="D245">
        <v>11134</v>
      </c>
      <c r="E245">
        <v>0</v>
      </c>
      <c r="F245" cm="1">
        <f t="array" ref="F245">_xlfn.IFS(B245="tt",D245/100*7*3900/1000,B245="order",D245/1000)</f>
        <v>3039.582</v>
      </c>
      <c r="G245" s="44" cm="1">
        <f t="array" ref="G245">_xlfn.IFS(B245="tt",E245/100*7*3900/1000,B245="order",E245/1000)</f>
        <v>0</v>
      </c>
      <c r="H245" t="str">
        <f t="shared" si="3"/>
        <v>202603</v>
      </c>
    </row>
    <row r="246" spans="1:8">
      <c r="A246" s="43">
        <v>46083</v>
      </c>
      <c r="B246" t="s">
        <v>9</v>
      </c>
      <c r="C246" t="s">
        <v>18</v>
      </c>
      <c r="D246">
        <v>3211</v>
      </c>
      <c r="E246">
        <v>0</v>
      </c>
      <c r="F246" cm="1">
        <f t="array" ref="F246">_xlfn.IFS(B246="tt",D246/100*7*3900/1000,B246="order",D246/1000)</f>
        <v>876.603</v>
      </c>
      <c r="G246" s="44" cm="1">
        <f t="array" ref="G246">_xlfn.IFS(B246="tt",E246/100*7*3900/1000,B246="order",E246/1000)</f>
        <v>0</v>
      </c>
      <c r="H246" t="str">
        <f t="shared" si="3"/>
        <v>202603</v>
      </c>
    </row>
    <row r="247" spans="1:8">
      <c r="A247" s="43">
        <v>46084</v>
      </c>
      <c r="B247" t="s">
        <v>9</v>
      </c>
      <c r="C247" t="s">
        <v>18</v>
      </c>
      <c r="D247">
        <v>10524</v>
      </c>
      <c r="E247">
        <v>0</v>
      </c>
      <c r="F247" cm="1">
        <f t="array" ref="F247">_xlfn.IFS(B247="tt",D247/100*7*3900/1000,B247="order",D247/1000)</f>
        <v>2873.052</v>
      </c>
      <c r="G247" s="44" cm="1">
        <f t="array" ref="G247">_xlfn.IFS(B247="tt",E247/100*7*3900/1000,B247="order",E247/1000)</f>
        <v>0</v>
      </c>
      <c r="H247" t="str">
        <f t="shared" si="3"/>
        <v>202603</v>
      </c>
    </row>
    <row r="248" spans="1:8">
      <c r="A248" s="43">
        <v>46085</v>
      </c>
      <c r="B248" t="s">
        <v>9</v>
      </c>
      <c r="C248" t="s">
        <v>18</v>
      </c>
      <c r="D248">
        <v>22081</v>
      </c>
      <c r="E248">
        <v>0</v>
      </c>
      <c r="F248" cm="1">
        <f t="array" ref="F248">_xlfn.IFS(B248="tt",D248/100*7*3900/1000,B248="order",D248/1000)</f>
        <v>6028.113</v>
      </c>
      <c r="G248" s="44" cm="1">
        <f t="array" ref="G248">_xlfn.IFS(B248="tt",E248/100*7*3900/1000,B248="order",E248/1000)</f>
        <v>0</v>
      </c>
      <c r="H248" t="str">
        <f t="shared" si="3"/>
        <v>202603</v>
      </c>
    </row>
    <row r="249" spans="1:8">
      <c r="A249" s="43">
        <v>46088</v>
      </c>
      <c r="B249" t="s">
        <v>9</v>
      </c>
      <c r="C249" t="s">
        <v>18</v>
      </c>
      <c r="D249">
        <v>16771</v>
      </c>
      <c r="E249">
        <v>0</v>
      </c>
      <c r="F249" cm="1">
        <f t="array" ref="F249">_xlfn.IFS(B249="tt",D249/100*7*3900/1000,B249="order",D249/1000)</f>
        <v>4578.483</v>
      </c>
      <c r="G249" s="44" cm="1">
        <f t="array" ref="G249">_xlfn.IFS(B249="tt",E249/100*7*3900/1000,B249="order",E249/1000)</f>
        <v>0</v>
      </c>
      <c r="H249" t="str">
        <f t="shared" si="3"/>
        <v>202603</v>
      </c>
    </row>
    <row r="250" spans="1:8">
      <c r="A250" s="43">
        <v>46089</v>
      </c>
      <c r="B250" t="s">
        <v>9</v>
      </c>
      <c r="C250" t="s">
        <v>18</v>
      </c>
      <c r="D250">
        <v>16185</v>
      </c>
      <c r="E250">
        <v>0</v>
      </c>
      <c r="F250" cm="1">
        <f t="array" ref="F250">_xlfn.IFS(B250="tt",D250/100*7*3900/1000,B250="order",D250/1000)</f>
        <v>4418.505</v>
      </c>
      <c r="G250" s="44" cm="1">
        <f t="array" ref="G250">_xlfn.IFS(B250="tt",E250/100*7*3900/1000,B250="order",E250/1000)</f>
        <v>0</v>
      </c>
      <c r="H250" t="str">
        <f t="shared" si="3"/>
        <v>202603</v>
      </c>
    </row>
    <row r="251" spans="1:8">
      <c r="A251" s="43">
        <v>46090</v>
      </c>
      <c r="B251" t="s">
        <v>9</v>
      </c>
      <c r="C251" t="s">
        <v>18</v>
      </c>
      <c r="D251">
        <v>22224</v>
      </c>
      <c r="E251">
        <v>0</v>
      </c>
      <c r="F251" cm="1">
        <f t="array" ref="F251">_xlfn.IFS(B251="tt",D251/100*7*3900/1000,B251="order",D251/1000)</f>
        <v>6067.152</v>
      </c>
      <c r="G251" s="44" cm="1">
        <f t="array" ref="G251">_xlfn.IFS(B251="tt",E251/100*7*3900/1000,B251="order",E251/1000)</f>
        <v>0</v>
      </c>
      <c r="H251" t="str">
        <f t="shared" si="3"/>
        <v>202603</v>
      </c>
    </row>
    <row r="252" spans="1:8">
      <c r="A252" s="43">
        <v>46091</v>
      </c>
      <c r="B252" t="s">
        <v>9</v>
      </c>
      <c r="C252" t="s">
        <v>18</v>
      </c>
      <c r="D252">
        <v>28339</v>
      </c>
      <c r="E252">
        <v>0</v>
      </c>
      <c r="F252" cm="1">
        <f t="array" ref="F252">_xlfn.IFS(B252="tt",D252/100*7*3900/1000,B252="order",D252/1000)</f>
        <v>7736.547</v>
      </c>
      <c r="G252" s="44" cm="1">
        <f t="array" ref="G252">_xlfn.IFS(B252="tt",E252/100*7*3900/1000,B252="order",E252/1000)</f>
        <v>0</v>
      </c>
      <c r="H252" t="str">
        <f t="shared" si="3"/>
        <v>202603</v>
      </c>
    </row>
    <row r="253" spans="1:8">
      <c r="A253" s="43">
        <v>46092</v>
      </c>
      <c r="B253" t="s">
        <v>9</v>
      </c>
      <c r="C253" t="s">
        <v>18</v>
      </c>
      <c r="D253">
        <v>14959</v>
      </c>
      <c r="E253">
        <v>0</v>
      </c>
      <c r="F253" cm="1">
        <f t="array" ref="F253">_xlfn.IFS(B253="tt",D253/100*7*3900/1000,B253="order",D253/1000)</f>
        <v>4083.807</v>
      </c>
      <c r="G253" s="44" cm="1">
        <f t="array" ref="G253">_xlfn.IFS(B253="tt",E253/100*7*3900/1000,B253="order",E253/1000)</f>
        <v>0</v>
      </c>
      <c r="H253" t="str">
        <f t="shared" si="3"/>
        <v>202603</v>
      </c>
    </row>
    <row r="254" spans="1:8">
      <c r="A254" s="43">
        <v>46093</v>
      </c>
      <c r="B254" t="s">
        <v>9</v>
      </c>
      <c r="C254" t="s">
        <v>18</v>
      </c>
      <c r="D254">
        <v>8521</v>
      </c>
      <c r="E254">
        <v>0</v>
      </c>
      <c r="F254" cm="1">
        <f t="array" ref="F254">_xlfn.IFS(B254="tt",D254/100*7*3900/1000,B254="order",D254/1000)</f>
        <v>2326.233</v>
      </c>
      <c r="G254" s="44" cm="1">
        <f t="array" ref="G254">_xlfn.IFS(B254="tt",E254/100*7*3900/1000,B254="order",E254/1000)</f>
        <v>0</v>
      </c>
      <c r="H254" t="str">
        <f t="shared" si="3"/>
        <v>202603</v>
      </c>
    </row>
    <row r="255" spans="1:8">
      <c r="A255" s="43">
        <v>46095</v>
      </c>
      <c r="B255" t="s">
        <v>9</v>
      </c>
      <c r="C255" t="s">
        <v>18</v>
      </c>
      <c r="D255">
        <v>28652</v>
      </c>
      <c r="E255">
        <v>0</v>
      </c>
      <c r="F255" cm="1">
        <f t="array" ref="F255">_xlfn.IFS(B255="tt",D255/100*7*3900/1000,B255="order",D255/1000)</f>
        <v>7821.996</v>
      </c>
      <c r="G255" s="44" cm="1">
        <f t="array" ref="G255">_xlfn.IFS(B255="tt",E255/100*7*3900/1000,B255="order",E255/1000)</f>
        <v>0</v>
      </c>
      <c r="H255" t="str">
        <f t="shared" si="3"/>
        <v>202603</v>
      </c>
    </row>
    <row r="256" spans="1:8">
      <c r="A256" s="43">
        <v>46096</v>
      </c>
      <c r="B256" t="s">
        <v>9</v>
      </c>
      <c r="C256" t="s">
        <v>18</v>
      </c>
      <c r="D256">
        <v>16812</v>
      </c>
      <c r="E256">
        <v>0</v>
      </c>
      <c r="F256" cm="1">
        <f t="array" ref="F256">_xlfn.IFS(B256="tt",D256/100*7*3900/1000,B256="order",D256/1000)</f>
        <v>4589.676</v>
      </c>
      <c r="G256" s="44" cm="1">
        <f t="array" ref="G256">_xlfn.IFS(B256="tt",E256/100*7*3900/1000,B256="order",E256/1000)</f>
        <v>0</v>
      </c>
      <c r="H256" t="str">
        <f t="shared" si="3"/>
        <v>202603</v>
      </c>
    </row>
    <row r="257" spans="1:8">
      <c r="A257" s="43">
        <v>46097</v>
      </c>
      <c r="B257" t="s">
        <v>9</v>
      </c>
      <c r="C257" t="s">
        <v>18</v>
      </c>
      <c r="D257">
        <v>31423</v>
      </c>
      <c r="E257">
        <v>0</v>
      </c>
      <c r="F257" cm="1">
        <f t="array" ref="F257">_xlfn.IFS(B257="tt",D257/100*7*3900/1000,B257="order",D257/1000)</f>
        <v>8578.479</v>
      </c>
      <c r="G257" s="44" cm="1">
        <f t="array" ref="G257">_xlfn.IFS(B257="tt",E257/100*7*3900/1000,B257="order",E257/1000)</f>
        <v>0</v>
      </c>
      <c r="H257" t="str">
        <f t="shared" si="3"/>
        <v>202603</v>
      </c>
    </row>
    <row r="258" spans="1:8">
      <c r="A258" s="43">
        <v>46098</v>
      </c>
      <c r="B258" t="s">
        <v>9</v>
      </c>
      <c r="C258" t="s">
        <v>18</v>
      </c>
      <c r="D258">
        <v>12362</v>
      </c>
      <c r="E258">
        <v>0</v>
      </c>
      <c r="F258" cm="1">
        <f t="array" ref="F258">_xlfn.IFS(B258="tt",D258/100*7*3900/1000,B258="order",D258/1000)</f>
        <v>3374.826</v>
      </c>
      <c r="G258" s="44" cm="1">
        <f t="array" ref="G258">_xlfn.IFS(B258="tt",E258/100*7*3900/1000,B258="order",E258/1000)</f>
        <v>0</v>
      </c>
      <c r="H258" t="str">
        <f t="shared" si="3"/>
        <v>202603</v>
      </c>
    </row>
    <row r="259" spans="1:8">
      <c r="A259" s="43">
        <v>46099</v>
      </c>
      <c r="B259" t="s">
        <v>9</v>
      </c>
      <c r="C259" t="s">
        <v>18</v>
      </c>
      <c r="D259">
        <v>10135</v>
      </c>
      <c r="E259">
        <v>0</v>
      </c>
      <c r="F259" cm="1">
        <f t="array" ref="F259">_xlfn.IFS(B259="tt",D259/100*7*3900/1000,B259="order",D259/1000)</f>
        <v>2766.855</v>
      </c>
      <c r="G259" s="44" cm="1">
        <f t="array" ref="G259">_xlfn.IFS(B259="tt",E259/100*7*3900/1000,B259="order",E259/1000)</f>
        <v>0</v>
      </c>
      <c r="H259" t="str">
        <f t="shared" ref="H259:H322" si="4">YEAR(A259)&amp;RIGHT("0"&amp;MONTH(A259),2)</f>
        <v>202603</v>
      </c>
    </row>
    <row r="260" spans="1:8">
      <c r="A260" s="43">
        <v>46100</v>
      </c>
      <c r="B260" t="s">
        <v>9</v>
      </c>
      <c r="C260" t="s">
        <v>18</v>
      </c>
      <c r="D260">
        <v>13634</v>
      </c>
      <c r="E260">
        <v>0</v>
      </c>
      <c r="F260" cm="1">
        <f t="array" ref="F260">_xlfn.IFS(B260="tt",D260/100*7*3900/1000,B260="order",D260/1000)</f>
        <v>3722.082</v>
      </c>
      <c r="G260" s="44" cm="1">
        <f t="array" ref="G260">_xlfn.IFS(B260="tt",E260/100*7*3900/1000,B260="order",E260/1000)</f>
        <v>0</v>
      </c>
      <c r="H260" t="str">
        <f t="shared" si="4"/>
        <v>202603</v>
      </c>
    </row>
    <row r="261" spans="1:8">
      <c r="A261" s="43">
        <v>46102</v>
      </c>
      <c r="B261" t="s">
        <v>9</v>
      </c>
      <c r="C261" t="s">
        <v>18</v>
      </c>
      <c r="D261">
        <v>9130</v>
      </c>
      <c r="E261">
        <v>0</v>
      </c>
      <c r="F261" cm="1">
        <f t="array" ref="F261">_xlfn.IFS(B261="tt",D261/100*7*3900/1000,B261="order",D261/1000)</f>
        <v>2492.49</v>
      </c>
      <c r="G261" s="44" cm="1">
        <f t="array" ref="G261">_xlfn.IFS(B261="tt",E261/100*7*3900/1000,B261="order",E261/1000)</f>
        <v>0</v>
      </c>
      <c r="H261" t="str">
        <f t="shared" si="4"/>
        <v>202603</v>
      </c>
    </row>
    <row r="262" spans="1:8">
      <c r="A262" s="43">
        <v>46103</v>
      </c>
      <c r="B262" t="s">
        <v>9</v>
      </c>
      <c r="C262" t="s">
        <v>18</v>
      </c>
      <c r="D262">
        <v>7559</v>
      </c>
      <c r="E262">
        <v>0</v>
      </c>
      <c r="F262" cm="1">
        <f t="array" ref="F262">_xlfn.IFS(B262="tt",D262/100*7*3900/1000,B262="order",D262/1000)</f>
        <v>2063.607</v>
      </c>
      <c r="G262" s="44" cm="1">
        <f t="array" ref="G262">_xlfn.IFS(B262="tt",E262/100*7*3900/1000,B262="order",E262/1000)</f>
        <v>0</v>
      </c>
      <c r="H262" t="str">
        <f t="shared" si="4"/>
        <v>202603</v>
      </c>
    </row>
    <row r="263" spans="1:8">
      <c r="A263" s="43">
        <v>46104</v>
      </c>
      <c r="B263" t="s">
        <v>9</v>
      </c>
      <c r="C263" t="s">
        <v>18</v>
      </c>
      <c r="D263">
        <v>7533</v>
      </c>
      <c r="E263">
        <v>0</v>
      </c>
      <c r="F263" cm="1">
        <f t="array" ref="F263">_xlfn.IFS(B263="tt",D263/100*7*3900/1000,B263="order",D263/1000)</f>
        <v>2056.509</v>
      </c>
      <c r="G263" s="44" cm="1">
        <f t="array" ref="G263">_xlfn.IFS(B263="tt",E263/100*7*3900/1000,B263="order",E263/1000)</f>
        <v>0</v>
      </c>
      <c r="H263" t="str">
        <f t="shared" si="4"/>
        <v>202603</v>
      </c>
    </row>
    <row r="264" spans="1:8">
      <c r="A264" s="43">
        <v>46105</v>
      </c>
      <c r="B264" t="s">
        <v>9</v>
      </c>
      <c r="C264" t="s">
        <v>18</v>
      </c>
      <c r="D264">
        <v>9833</v>
      </c>
      <c r="E264">
        <v>0</v>
      </c>
      <c r="F264" cm="1">
        <f t="array" ref="F264">_xlfn.IFS(B264="tt",D264/100*7*3900/1000,B264="order",D264/1000)</f>
        <v>2684.409</v>
      </c>
      <c r="G264" s="44" cm="1">
        <f t="array" ref="G264">_xlfn.IFS(B264="tt",E264/100*7*3900/1000,B264="order",E264/1000)</f>
        <v>0</v>
      </c>
      <c r="H264" t="str">
        <f t="shared" si="4"/>
        <v>202603</v>
      </c>
    </row>
    <row r="265" spans="1:8">
      <c r="A265" s="43">
        <v>46106</v>
      </c>
      <c r="B265" t="s">
        <v>9</v>
      </c>
      <c r="C265" t="s">
        <v>18</v>
      </c>
      <c r="D265">
        <v>9914</v>
      </c>
      <c r="E265">
        <v>0</v>
      </c>
      <c r="F265" cm="1">
        <f t="array" ref="F265">_xlfn.IFS(B265="tt",D265/100*7*3900/1000,B265="order",D265/1000)</f>
        <v>2706.522</v>
      </c>
      <c r="G265" s="44" cm="1">
        <f t="array" ref="G265">_xlfn.IFS(B265="tt",E265/100*7*3900/1000,B265="order",E265/1000)</f>
        <v>0</v>
      </c>
      <c r="H265" t="str">
        <f t="shared" si="4"/>
        <v>202603</v>
      </c>
    </row>
    <row r="266" spans="1:8">
      <c r="A266" s="43">
        <v>46107</v>
      </c>
      <c r="B266" t="s">
        <v>9</v>
      </c>
      <c r="C266" t="s">
        <v>18</v>
      </c>
      <c r="D266">
        <v>10475</v>
      </c>
      <c r="E266">
        <v>0</v>
      </c>
      <c r="F266" cm="1">
        <f t="array" ref="F266">_xlfn.IFS(B266="tt",D266/100*7*3900/1000,B266="order",D266/1000)</f>
        <v>2859.675</v>
      </c>
      <c r="G266" s="44" cm="1">
        <f t="array" ref="G266">_xlfn.IFS(B266="tt",E266/100*7*3900/1000,B266="order",E266/1000)</f>
        <v>0</v>
      </c>
      <c r="H266" t="str">
        <f t="shared" si="4"/>
        <v>202603</v>
      </c>
    </row>
    <row r="267" spans="1:8">
      <c r="A267" s="43">
        <v>46109</v>
      </c>
      <c r="B267" t="s">
        <v>9</v>
      </c>
      <c r="C267" t="s">
        <v>18</v>
      </c>
      <c r="D267">
        <v>19513</v>
      </c>
      <c r="E267">
        <v>0</v>
      </c>
      <c r="F267" cm="1">
        <f t="array" ref="F267">_xlfn.IFS(B267="tt",D267/100*7*3900/1000,B267="order",D267/1000)</f>
        <v>5327.049</v>
      </c>
      <c r="G267" s="44" cm="1">
        <f t="array" ref="G267">_xlfn.IFS(B267="tt",E267/100*7*3900/1000,B267="order",E267/1000)</f>
        <v>0</v>
      </c>
      <c r="H267" t="str">
        <f t="shared" si="4"/>
        <v>202603</v>
      </c>
    </row>
    <row r="268" spans="1:8">
      <c r="A268" s="43">
        <v>46110</v>
      </c>
      <c r="B268" t="s">
        <v>9</v>
      </c>
      <c r="C268" t="s">
        <v>18</v>
      </c>
      <c r="D268">
        <v>6354</v>
      </c>
      <c r="E268">
        <v>0</v>
      </c>
      <c r="F268" cm="1">
        <f t="array" ref="F268">_xlfn.IFS(B268="tt",D268/100*7*3900/1000,B268="order",D268/1000)</f>
        <v>1734.642</v>
      </c>
      <c r="G268" s="44" cm="1">
        <f t="array" ref="G268">_xlfn.IFS(B268="tt",E268/100*7*3900/1000,B268="order",E268/1000)</f>
        <v>0</v>
      </c>
      <c r="H268" t="str">
        <f t="shared" si="4"/>
        <v>202603</v>
      </c>
    </row>
    <row r="269" spans="1:8">
      <c r="A269" s="43">
        <v>46111</v>
      </c>
      <c r="B269" t="s">
        <v>9</v>
      </c>
      <c r="C269" t="s">
        <v>18</v>
      </c>
      <c r="D269">
        <v>8279</v>
      </c>
      <c r="E269">
        <v>0</v>
      </c>
      <c r="F269" cm="1">
        <f t="array" ref="F269">_xlfn.IFS(B269="tt",D269/100*7*3900/1000,B269="order",D269/1000)</f>
        <v>2260.167</v>
      </c>
      <c r="G269" s="44" cm="1">
        <f t="array" ref="G269">_xlfn.IFS(B269="tt",E269/100*7*3900/1000,B269="order",E269/1000)</f>
        <v>0</v>
      </c>
      <c r="H269" t="str">
        <f t="shared" si="4"/>
        <v>202603</v>
      </c>
    </row>
    <row r="270" spans="1:8">
      <c r="A270" s="43">
        <v>46112</v>
      </c>
      <c r="B270" t="s">
        <v>9</v>
      </c>
      <c r="C270" t="s">
        <v>18</v>
      </c>
      <c r="D270">
        <v>7328</v>
      </c>
      <c r="E270">
        <v>0</v>
      </c>
      <c r="F270" cm="1">
        <f t="array" ref="F270">_xlfn.IFS(B270="tt",D270/100*7*3900/1000,B270="order",D270/1000)</f>
        <v>2000.544</v>
      </c>
      <c r="G270" s="44" cm="1">
        <f t="array" ref="G270">_xlfn.IFS(B270="tt",E270/100*7*3900/1000,B270="order",E270/1000)</f>
        <v>0</v>
      </c>
      <c r="H270" t="str">
        <f t="shared" si="4"/>
        <v>202603</v>
      </c>
    </row>
    <row r="271" spans="1:8">
      <c r="A271" s="43">
        <v>46113</v>
      </c>
      <c r="B271" t="s">
        <v>9</v>
      </c>
      <c r="C271" t="s">
        <v>18</v>
      </c>
      <c r="D271">
        <v>8321</v>
      </c>
      <c r="E271">
        <v>0</v>
      </c>
      <c r="F271" cm="1">
        <f t="array" ref="F271">_xlfn.IFS(B271="tt",D271/100*7*3900/1000,B271="order",D271/1000)</f>
        <v>2271.633</v>
      </c>
      <c r="G271" s="44" cm="1">
        <f t="array" ref="G271">_xlfn.IFS(B271="tt",E271/100*7*3900/1000,B271="order",E271/1000)</f>
        <v>0</v>
      </c>
      <c r="H271" t="str">
        <f t="shared" si="4"/>
        <v>202604</v>
      </c>
    </row>
    <row r="272" spans="1:8">
      <c r="A272" s="43">
        <v>46114</v>
      </c>
      <c r="B272" t="s">
        <v>9</v>
      </c>
      <c r="C272" t="s">
        <v>18</v>
      </c>
      <c r="D272">
        <v>13538</v>
      </c>
      <c r="E272">
        <v>0</v>
      </c>
      <c r="F272" cm="1">
        <f t="array" ref="F272">_xlfn.IFS(B272="tt",D272/100*7*3900/1000,B272="order",D272/1000)</f>
        <v>3695.874</v>
      </c>
      <c r="G272" s="44" cm="1">
        <f t="array" ref="G272">_xlfn.IFS(B272="tt",E272/100*7*3900/1000,B272="order",E272/1000)</f>
        <v>0</v>
      </c>
      <c r="H272" t="str">
        <f t="shared" si="4"/>
        <v>202604</v>
      </c>
    </row>
    <row r="273" spans="1:8">
      <c r="A273" s="43">
        <v>46116</v>
      </c>
      <c r="B273" t="s">
        <v>9</v>
      </c>
      <c r="C273" t="s">
        <v>18</v>
      </c>
      <c r="D273">
        <v>10166</v>
      </c>
      <c r="E273">
        <v>0</v>
      </c>
      <c r="F273" cm="1">
        <f t="array" ref="F273">_xlfn.IFS(B273="tt",D273/100*7*3900/1000,B273="order",D273/1000)</f>
        <v>2775.318</v>
      </c>
      <c r="G273" s="44" cm="1">
        <f t="array" ref="G273">_xlfn.IFS(B273="tt",E273/100*7*3900/1000,B273="order",E273/1000)</f>
        <v>0</v>
      </c>
      <c r="H273" t="str">
        <f t="shared" si="4"/>
        <v>202604</v>
      </c>
    </row>
    <row r="274" spans="1:8">
      <c r="A274" s="43">
        <v>46117</v>
      </c>
      <c r="B274" t="s">
        <v>9</v>
      </c>
      <c r="C274" t="s">
        <v>18</v>
      </c>
      <c r="D274">
        <v>6343</v>
      </c>
      <c r="E274">
        <v>0</v>
      </c>
      <c r="F274" cm="1">
        <f t="array" ref="F274">_xlfn.IFS(B274="tt",D274/100*7*3900/1000,B274="order",D274/1000)</f>
        <v>1731.639</v>
      </c>
      <c r="G274" s="44" cm="1">
        <f t="array" ref="G274">_xlfn.IFS(B274="tt",E274/100*7*3900/1000,B274="order",E274/1000)</f>
        <v>0</v>
      </c>
      <c r="H274" t="str">
        <f t="shared" si="4"/>
        <v>202604</v>
      </c>
    </row>
    <row r="275" spans="1:8">
      <c r="A275" s="43">
        <v>46118</v>
      </c>
      <c r="B275" t="s">
        <v>9</v>
      </c>
      <c r="C275" t="s">
        <v>18</v>
      </c>
      <c r="D275">
        <v>11244</v>
      </c>
      <c r="E275">
        <v>0</v>
      </c>
      <c r="F275" cm="1">
        <f t="array" ref="F275">_xlfn.IFS(B275="tt",D275/100*7*3900/1000,B275="order",D275/1000)</f>
        <v>3069.612</v>
      </c>
      <c r="G275" s="44" cm="1">
        <f t="array" ref="G275">_xlfn.IFS(B275="tt",E275/100*7*3900/1000,B275="order",E275/1000)</f>
        <v>0</v>
      </c>
      <c r="H275" t="str">
        <f t="shared" si="4"/>
        <v>202604</v>
      </c>
    </row>
    <row r="276" spans="1:8">
      <c r="A276" s="43">
        <v>46119</v>
      </c>
      <c r="B276" t="s">
        <v>9</v>
      </c>
      <c r="C276" t="s">
        <v>18</v>
      </c>
      <c r="D276">
        <v>8788</v>
      </c>
      <c r="E276">
        <v>0</v>
      </c>
      <c r="F276" cm="1">
        <f t="array" ref="F276">_xlfn.IFS(B276="tt",D276/100*7*3900/1000,B276="order",D276/1000)</f>
        <v>2399.124</v>
      </c>
      <c r="G276" s="44" cm="1">
        <f t="array" ref="G276">_xlfn.IFS(B276="tt",E276/100*7*3900/1000,B276="order",E276/1000)</f>
        <v>0</v>
      </c>
      <c r="H276" t="str">
        <f t="shared" si="4"/>
        <v>202604</v>
      </c>
    </row>
    <row r="277" spans="1:8">
      <c r="A277" s="43">
        <v>46120</v>
      </c>
      <c r="B277" t="s">
        <v>9</v>
      </c>
      <c r="C277" t="s">
        <v>18</v>
      </c>
      <c r="D277">
        <v>15482</v>
      </c>
      <c r="E277">
        <v>0</v>
      </c>
      <c r="F277" cm="1">
        <f t="array" ref="F277">_xlfn.IFS(B277="tt",D277/100*7*3900/1000,B277="order",D277/1000)</f>
        <v>4226.586</v>
      </c>
      <c r="G277" s="44" cm="1">
        <f t="array" ref="G277">_xlfn.IFS(B277="tt",E277/100*7*3900/1000,B277="order",E277/1000)</f>
        <v>0</v>
      </c>
      <c r="H277" t="str">
        <f t="shared" si="4"/>
        <v>202604</v>
      </c>
    </row>
    <row r="278" spans="1:8">
      <c r="A278" s="43">
        <v>46121</v>
      </c>
      <c r="B278" t="s">
        <v>9</v>
      </c>
      <c r="C278" t="s">
        <v>18</v>
      </c>
      <c r="D278">
        <v>74292</v>
      </c>
      <c r="E278">
        <v>0</v>
      </c>
      <c r="F278" cm="1">
        <f t="array" ref="F278">_xlfn.IFS(B278="tt",D278/100*7*3900/1000,B278="order",D278/1000)</f>
        <v>20281.716</v>
      </c>
      <c r="G278" s="44" cm="1">
        <f t="array" ref="G278">_xlfn.IFS(B278="tt",E278/100*7*3900/1000,B278="order",E278/1000)</f>
        <v>0</v>
      </c>
      <c r="H278" t="str">
        <f t="shared" si="4"/>
        <v>202604</v>
      </c>
    </row>
    <row r="279" spans="1:8">
      <c r="A279" s="43">
        <v>46090</v>
      </c>
      <c r="B279" t="s">
        <v>9</v>
      </c>
      <c r="C279" t="s">
        <v>20</v>
      </c>
      <c r="D279">
        <v>17291</v>
      </c>
      <c r="E279">
        <v>0</v>
      </c>
      <c r="F279" cm="1">
        <f t="array" ref="F279">_xlfn.IFS(B279="tt",D279/100*7*3900/1000,B279="order",D279/1000)</f>
        <v>4720.443</v>
      </c>
      <c r="G279" s="44" cm="1">
        <f t="array" ref="G279">_xlfn.IFS(B279="tt",E279/100*7*3900/1000,B279="order",E279/1000)</f>
        <v>0</v>
      </c>
      <c r="H279" t="str">
        <f t="shared" si="4"/>
        <v>202603</v>
      </c>
    </row>
    <row r="280" spans="1:8">
      <c r="A280" s="43">
        <v>46091</v>
      </c>
      <c r="B280" t="s">
        <v>9</v>
      </c>
      <c r="C280" t="s">
        <v>20</v>
      </c>
      <c r="D280">
        <v>5688</v>
      </c>
      <c r="E280">
        <v>0</v>
      </c>
      <c r="F280" cm="1">
        <f t="array" ref="F280">_xlfn.IFS(B280="tt",D280/100*7*3900/1000,B280="order",D280/1000)</f>
        <v>1552.824</v>
      </c>
      <c r="G280" s="44" cm="1">
        <f t="array" ref="G280">_xlfn.IFS(B280="tt",E280/100*7*3900/1000,B280="order",E280/1000)</f>
        <v>0</v>
      </c>
      <c r="H280" t="str">
        <f t="shared" si="4"/>
        <v>202603</v>
      </c>
    </row>
    <row r="281" spans="1:8">
      <c r="A281" s="43">
        <v>46092</v>
      </c>
      <c r="B281" t="s">
        <v>9</v>
      </c>
      <c r="C281" t="s">
        <v>20</v>
      </c>
      <c r="D281">
        <v>6520</v>
      </c>
      <c r="E281">
        <v>0</v>
      </c>
      <c r="F281" cm="1">
        <f t="array" ref="F281">_xlfn.IFS(B281="tt",D281/100*7*3900/1000,B281="order",D281/1000)</f>
        <v>1779.96</v>
      </c>
      <c r="G281" s="44" cm="1">
        <f t="array" ref="G281">_xlfn.IFS(B281="tt",E281/100*7*3900/1000,B281="order",E281/1000)</f>
        <v>0</v>
      </c>
      <c r="H281" t="str">
        <f t="shared" si="4"/>
        <v>202603</v>
      </c>
    </row>
    <row r="282" spans="1:8">
      <c r="A282" s="43">
        <v>46093</v>
      </c>
      <c r="B282" t="s">
        <v>9</v>
      </c>
      <c r="C282" t="s">
        <v>20</v>
      </c>
      <c r="D282">
        <v>2595</v>
      </c>
      <c r="E282">
        <v>0</v>
      </c>
      <c r="F282" cm="1">
        <f t="array" ref="F282">_xlfn.IFS(B282="tt",D282/100*7*3900/1000,B282="order",D282/1000)</f>
        <v>708.435</v>
      </c>
      <c r="G282" s="44" cm="1">
        <f t="array" ref="G282">_xlfn.IFS(B282="tt",E282/100*7*3900/1000,B282="order",E282/1000)</f>
        <v>0</v>
      </c>
      <c r="H282" t="str">
        <f t="shared" si="4"/>
        <v>202603</v>
      </c>
    </row>
    <row r="283" spans="1:8">
      <c r="A283" s="43">
        <v>46094</v>
      </c>
      <c r="B283" t="s">
        <v>9</v>
      </c>
      <c r="C283" t="s">
        <v>20</v>
      </c>
      <c r="D283">
        <v>3319</v>
      </c>
      <c r="E283">
        <v>0</v>
      </c>
      <c r="F283" cm="1">
        <f t="array" ref="F283">_xlfn.IFS(B283="tt",D283/100*7*3900/1000,B283="order",D283/1000)</f>
        <v>906.087</v>
      </c>
      <c r="G283" s="44" cm="1">
        <f t="array" ref="G283">_xlfn.IFS(B283="tt",E283/100*7*3900/1000,B283="order",E283/1000)</f>
        <v>0</v>
      </c>
      <c r="H283" t="str">
        <f t="shared" si="4"/>
        <v>202603</v>
      </c>
    </row>
    <row r="284" spans="1:8">
      <c r="A284" s="43">
        <v>46095</v>
      </c>
      <c r="B284" t="s">
        <v>9</v>
      </c>
      <c r="C284" t="s">
        <v>20</v>
      </c>
      <c r="D284">
        <v>4363</v>
      </c>
      <c r="E284">
        <v>0</v>
      </c>
      <c r="F284" cm="1">
        <f t="array" ref="F284">_xlfn.IFS(B284="tt",D284/100*7*3900/1000,B284="order",D284/1000)</f>
        <v>1191.099</v>
      </c>
      <c r="G284" s="44" cm="1">
        <f t="array" ref="G284">_xlfn.IFS(B284="tt",E284/100*7*3900/1000,B284="order",E284/1000)</f>
        <v>0</v>
      </c>
      <c r="H284" t="str">
        <f t="shared" si="4"/>
        <v>202603</v>
      </c>
    </row>
    <row r="285" spans="1:8">
      <c r="A285" s="43">
        <v>46096</v>
      </c>
      <c r="B285" t="s">
        <v>9</v>
      </c>
      <c r="C285" t="s">
        <v>20</v>
      </c>
      <c r="D285">
        <v>1957</v>
      </c>
      <c r="E285">
        <v>0</v>
      </c>
      <c r="F285" cm="1">
        <f t="array" ref="F285">_xlfn.IFS(B285="tt",D285/100*7*3900/1000,B285="order",D285/1000)</f>
        <v>534.261</v>
      </c>
      <c r="G285" s="44" cm="1">
        <f t="array" ref="G285">_xlfn.IFS(B285="tt",E285/100*7*3900/1000,B285="order",E285/1000)</f>
        <v>0</v>
      </c>
      <c r="H285" t="str">
        <f t="shared" si="4"/>
        <v>202603</v>
      </c>
    </row>
    <row r="286" spans="1:8">
      <c r="A286" s="43">
        <v>46097</v>
      </c>
      <c r="B286" t="s">
        <v>9</v>
      </c>
      <c r="C286" t="s">
        <v>20</v>
      </c>
      <c r="D286">
        <v>4827</v>
      </c>
      <c r="E286">
        <v>0</v>
      </c>
      <c r="F286" cm="1">
        <f t="array" ref="F286">_xlfn.IFS(B286="tt",D286/100*7*3900/1000,B286="order",D286/1000)</f>
        <v>1317.771</v>
      </c>
      <c r="G286" s="44" cm="1">
        <f t="array" ref="G286">_xlfn.IFS(B286="tt",E286/100*7*3900/1000,B286="order",E286/1000)</f>
        <v>0</v>
      </c>
      <c r="H286" t="str">
        <f t="shared" si="4"/>
        <v>202603</v>
      </c>
    </row>
    <row r="287" spans="1:8">
      <c r="A287" s="43">
        <v>46098</v>
      </c>
      <c r="B287" t="s">
        <v>9</v>
      </c>
      <c r="C287" t="s">
        <v>20</v>
      </c>
      <c r="D287">
        <v>3649</v>
      </c>
      <c r="E287">
        <v>0</v>
      </c>
      <c r="F287" cm="1">
        <f t="array" ref="F287">_xlfn.IFS(B287="tt",D287/100*7*3900/1000,B287="order",D287/1000)</f>
        <v>996.177</v>
      </c>
      <c r="G287" s="44" cm="1">
        <f t="array" ref="G287">_xlfn.IFS(B287="tt",E287/100*7*3900/1000,B287="order",E287/1000)</f>
        <v>0</v>
      </c>
      <c r="H287" t="str">
        <f t="shared" si="4"/>
        <v>202603</v>
      </c>
    </row>
    <row r="288" spans="1:8">
      <c r="A288" s="43">
        <v>46099</v>
      </c>
      <c r="B288" t="s">
        <v>9</v>
      </c>
      <c r="C288" t="s">
        <v>20</v>
      </c>
      <c r="D288">
        <v>4149</v>
      </c>
      <c r="E288">
        <v>0</v>
      </c>
      <c r="F288" cm="1">
        <f t="array" ref="F288">_xlfn.IFS(B288="tt",D288/100*7*3900/1000,B288="order",D288/1000)</f>
        <v>1132.677</v>
      </c>
      <c r="G288" s="44" cm="1">
        <f t="array" ref="G288">_xlfn.IFS(B288="tt",E288/100*7*3900/1000,B288="order",E288/1000)</f>
        <v>0</v>
      </c>
      <c r="H288" t="str">
        <f t="shared" si="4"/>
        <v>202603</v>
      </c>
    </row>
    <row r="289" spans="1:8">
      <c r="A289" s="43">
        <v>46101</v>
      </c>
      <c r="B289" t="s">
        <v>9</v>
      </c>
      <c r="C289" t="s">
        <v>20</v>
      </c>
      <c r="D289">
        <v>3835</v>
      </c>
      <c r="E289">
        <v>0</v>
      </c>
      <c r="F289" cm="1">
        <f t="array" ref="F289">_xlfn.IFS(B289="tt",D289/100*7*3900/1000,B289="order",D289/1000)</f>
        <v>1046.955</v>
      </c>
      <c r="G289" s="44" cm="1">
        <f t="array" ref="G289">_xlfn.IFS(B289="tt",E289/100*7*3900/1000,B289="order",E289/1000)</f>
        <v>0</v>
      </c>
      <c r="H289" t="str">
        <f t="shared" si="4"/>
        <v>202603</v>
      </c>
    </row>
    <row r="290" spans="1:8">
      <c r="A290" s="43">
        <v>46102</v>
      </c>
      <c r="B290" t="s">
        <v>9</v>
      </c>
      <c r="C290" t="s">
        <v>20</v>
      </c>
      <c r="D290">
        <v>1870</v>
      </c>
      <c r="E290">
        <v>0</v>
      </c>
      <c r="F290" cm="1">
        <f t="array" ref="F290">_xlfn.IFS(B290="tt",D290/100*7*3900/1000,B290="order",D290/1000)</f>
        <v>510.51</v>
      </c>
      <c r="G290" s="44" cm="1">
        <f t="array" ref="G290">_xlfn.IFS(B290="tt",E290/100*7*3900/1000,B290="order",E290/1000)</f>
        <v>0</v>
      </c>
      <c r="H290" t="str">
        <f t="shared" si="4"/>
        <v>202603</v>
      </c>
    </row>
    <row r="291" spans="1:8">
      <c r="A291" s="43">
        <v>46103</v>
      </c>
      <c r="B291" t="s">
        <v>9</v>
      </c>
      <c r="C291" t="s">
        <v>20</v>
      </c>
      <c r="D291">
        <v>1519</v>
      </c>
      <c r="E291">
        <v>0</v>
      </c>
      <c r="F291" cm="1">
        <f t="array" ref="F291">_xlfn.IFS(B291="tt",D291/100*7*3900/1000,B291="order",D291/1000)</f>
        <v>414.687</v>
      </c>
      <c r="G291" s="44" cm="1">
        <f t="array" ref="G291">_xlfn.IFS(B291="tt",E291/100*7*3900/1000,B291="order",E291/1000)</f>
        <v>0</v>
      </c>
      <c r="H291" t="str">
        <f t="shared" si="4"/>
        <v>202603</v>
      </c>
    </row>
    <row r="292" spans="1:8">
      <c r="A292" s="43">
        <v>46104</v>
      </c>
      <c r="B292" t="s">
        <v>9</v>
      </c>
      <c r="C292" t="s">
        <v>20</v>
      </c>
      <c r="D292">
        <v>1422</v>
      </c>
      <c r="E292">
        <v>0</v>
      </c>
      <c r="F292" cm="1">
        <f t="array" ref="F292">_xlfn.IFS(B292="tt",D292/100*7*3900/1000,B292="order",D292/1000)</f>
        <v>388.206</v>
      </c>
      <c r="G292" s="44" cm="1">
        <f t="array" ref="G292">_xlfn.IFS(B292="tt",E292/100*7*3900/1000,B292="order",E292/1000)</f>
        <v>0</v>
      </c>
      <c r="H292" t="str">
        <f t="shared" si="4"/>
        <v>202603</v>
      </c>
    </row>
    <row r="293" spans="1:8">
      <c r="A293" s="43">
        <v>46105</v>
      </c>
      <c r="B293" t="s">
        <v>9</v>
      </c>
      <c r="C293" t="s">
        <v>20</v>
      </c>
      <c r="D293">
        <v>911</v>
      </c>
      <c r="E293">
        <v>0</v>
      </c>
      <c r="F293" cm="1">
        <f t="array" ref="F293">_xlfn.IFS(B293="tt",D293/100*7*3900/1000,B293="order",D293/1000)</f>
        <v>248.703</v>
      </c>
      <c r="G293" s="44" cm="1">
        <f t="array" ref="G293">_xlfn.IFS(B293="tt",E293/100*7*3900/1000,B293="order",E293/1000)</f>
        <v>0</v>
      </c>
      <c r="H293" t="str">
        <f t="shared" si="4"/>
        <v>202603</v>
      </c>
    </row>
    <row r="294" spans="1:8">
      <c r="A294" s="43">
        <v>46106</v>
      </c>
      <c r="B294" t="s">
        <v>9</v>
      </c>
      <c r="C294" t="s">
        <v>20</v>
      </c>
      <c r="D294">
        <v>1561</v>
      </c>
      <c r="E294">
        <v>0</v>
      </c>
      <c r="F294" cm="1">
        <f t="array" ref="F294">_xlfn.IFS(B294="tt",D294/100*7*3900/1000,B294="order",D294/1000)</f>
        <v>426.153</v>
      </c>
      <c r="G294" s="44" cm="1">
        <f t="array" ref="G294">_xlfn.IFS(B294="tt",E294/100*7*3900/1000,B294="order",E294/1000)</f>
        <v>0</v>
      </c>
      <c r="H294" t="str">
        <f t="shared" si="4"/>
        <v>202603</v>
      </c>
    </row>
    <row r="295" spans="1:8">
      <c r="A295" s="43">
        <v>46108</v>
      </c>
      <c r="B295" t="s">
        <v>9</v>
      </c>
      <c r="C295" t="s">
        <v>20</v>
      </c>
      <c r="D295">
        <v>1150</v>
      </c>
      <c r="E295">
        <v>0</v>
      </c>
      <c r="F295" cm="1">
        <f t="array" ref="F295">_xlfn.IFS(B295="tt",D295/100*7*3900/1000,B295="order",D295/1000)</f>
        <v>313.95</v>
      </c>
      <c r="G295" s="44" cm="1">
        <f t="array" ref="G295">_xlfn.IFS(B295="tt",E295/100*7*3900/1000,B295="order",E295/1000)</f>
        <v>0</v>
      </c>
      <c r="H295" t="str">
        <f t="shared" si="4"/>
        <v>202603</v>
      </c>
    </row>
    <row r="296" spans="1:8">
      <c r="A296" s="43">
        <v>46109</v>
      </c>
      <c r="B296" t="s">
        <v>9</v>
      </c>
      <c r="C296" t="s">
        <v>20</v>
      </c>
      <c r="D296">
        <v>816</v>
      </c>
      <c r="E296">
        <v>0</v>
      </c>
      <c r="F296" cm="1">
        <f t="array" ref="F296">_xlfn.IFS(B296="tt",D296/100*7*3900/1000,B296="order",D296/1000)</f>
        <v>222.768</v>
      </c>
      <c r="G296" s="44" cm="1">
        <f t="array" ref="G296">_xlfn.IFS(B296="tt",E296/100*7*3900/1000,B296="order",E296/1000)</f>
        <v>0</v>
      </c>
      <c r="H296" t="str">
        <f t="shared" si="4"/>
        <v>202603</v>
      </c>
    </row>
    <row r="297" spans="1:8">
      <c r="A297" s="43">
        <v>46110</v>
      </c>
      <c r="B297" t="s">
        <v>9</v>
      </c>
      <c r="C297" t="s">
        <v>20</v>
      </c>
      <c r="D297">
        <v>1394</v>
      </c>
      <c r="E297">
        <v>0</v>
      </c>
      <c r="F297" cm="1">
        <f t="array" ref="F297">_xlfn.IFS(B297="tt",D297/100*7*3900/1000,B297="order",D297/1000)</f>
        <v>380.562</v>
      </c>
      <c r="G297" s="44" cm="1">
        <f t="array" ref="G297">_xlfn.IFS(B297="tt",E297/100*7*3900/1000,B297="order",E297/1000)</f>
        <v>0</v>
      </c>
      <c r="H297" t="str">
        <f t="shared" si="4"/>
        <v>202603</v>
      </c>
    </row>
    <row r="298" spans="1:8">
      <c r="A298" s="43">
        <v>46111</v>
      </c>
      <c r="B298" t="s">
        <v>9</v>
      </c>
      <c r="C298" t="s">
        <v>20</v>
      </c>
      <c r="D298">
        <v>1733</v>
      </c>
      <c r="E298">
        <v>0</v>
      </c>
      <c r="F298" cm="1">
        <f t="array" ref="F298">_xlfn.IFS(B298="tt",D298/100*7*3900/1000,B298="order",D298/1000)</f>
        <v>473.109</v>
      </c>
      <c r="G298" s="44" cm="1">
        <f t="array" ref="G298">_xlfn.IFS(B298="tt",E298/100*7*3900/1000,B298="order",E298/1000)</f>
        <v>0</v>
      </c>
      <c r="H298" t="str">
        <f t="shared" si="4"/>
        <v>202603</v>
      </c>
    </row>
    <row r="299" spans="1:8">
      <c r="A299" s="43">
        <v>46112</v>
      </c>
      <c r="B299" t="s">
        <v>9</v>
      </c>
      <c r="C299" t="s">
        <v>20</v>
      </c>
      <c r="D299">
        <v>820</v>
      </c>
      <c r="E299">
        <v>0</v>
      </c>
      <c r="F299" cm="1">
        <f t="array" ref="F299">_xlfn.IFS(B299="tt",D299/100*7*3900/1000,B299="order",D299/1000)</f>
        <v>223.86</v>
      </c>
      <c r="G299" s="44" cm="1">
        <f t="array" ref="G299">_xlfn.IFS(B299="tt",E299/100*7*3900/1000,B299="order",E299/1000)</f>
        <v>0</v>
      </c>
      <c r="H299" t="str">
        <f t="shared" si="4"/>
        <v>202603</v>
      </c>
    </row>
    <row r="300" spans="1:8">
      <c r="A300" s="43">
        <v>46113</v>
      </c>
      <c r="B300" t="s">
        <v>9</v>
      </c>
      <c r="C300" t="s">
        <v>20</v>
      </c>
      <c r="D300">
        <v>757</v>
      </c>
      <c r="E300">
        <v>0</v>
      </c>
      <c r="F300" cm="1">
        <f t="array" ref="F300">_xlfn.IFS(B300="tt",D300/100*7*3900/1000,B300="order",D300/1000)</f>
        <v>206.661</v>
      </c>
      <c r="G300" s="44" cm="1">
        <f t="array" ref="G300">_xlfn.IFS(B300="tt",E300/100*7*3900/1000,B300="order",E300/1000)</f>
        <v>0</v>
      </c>
      <c r="H300" t="str">
        <f t="shared" si="4"/>
        <v>202604</v>
      </c>
    </row>
    <row r="301" spans="1:8">
      <c r="A301" s="43">
        <v>46115</v>
      </c>
      <c r="B301" t="s">
        <v>9</v>
      </c>
      <c r="C301" t="s">
        <v>20</v>
      </c>
      <c r="D301">
        <v>4146</v>
      </c>
      <c r="E301">
        <v>0</v>
      </c>
      <c r="F301" cm="1">
        <f t="array" ref="F301">_xlfn.IFS(B301="tt",D301/100*7*3900/1000,B301="order",D301/1000)</f>
        <v>1131.858</v>
      </c>
      <c r="G301" s="44" cm="1">
        <f t="array" ref="G301">_xlfn.IFS(B301="tt",E301/100*7*3900/1000,B301="order",E301/1000)</f>
        <v>0</v>
      </c>
      <c r="H301" t="str">
        <f t="shared" si="4"/>
        <v>202604</v>
      </c>
    </row>
    <row r="302" spans="1:8">
      <c r="A302" s="43">
        <v>46116</v>
      </c>
      <c r="B302" t="s">
        <v>9</v>
      </c>
      <c r="C302" t="s">
        <v>20</v>
      </c>
      <c r="D302">
        <v>3066</v>
      </c>
      <c r="E302">
        <v>0</v>
      </c>
      <c r="F302" cm="1">
        <f t="array" ref="F302">_xlfn.IFS(B302="tt",D302/100*7*3900/1000,B302="order",D302/1000)</f>
        <v>837.018</v>
      </c>
      <c r="G302" s="44" cm="1">
        <f t="array" ref="G302">_xlfn.IFS(B302="tt",E302/100*7*3900/1000,B302="order",E302/1000)</f>
        <v>0</v>
      </c>
      <c r="H302" t="str">
        <f t="shared" si="4"/>
        <v>202604</v>
      </c>
    </row>
    <row r="303" spans="1:8">
      <c r="A303" s="43">
        <v>46117</v>
      </c>
      <c r="B303" t="s">
        <v>9</v>
      </c>
      <c r="C303" t="s">
        <v>20</v>
      </c>
      <c r="D303">
        <v>1650</v>
      </c>
      <c r="E303">
        <v>0</v>
      </c>
      <c r="F303" cm="1">
        <f t="array" ref="F303">_xlfn.IFS(B303="tt",D303/100*7*3900/1000,B303="order",D303/1000)</f>
        <v>450.45</v>
      </c>
      <c r="G303" s="44" cm="1">
        <f t="array" ref="G303">_xlfn.IFS(B303="tt",E303/100*7*3900/1000,B303="order",E303/1000)</f>
        <v>0</v>
      </c>
      <c r="H303" t="str">
        <f t="shared" si="4"/>
        <v>202604</v>
      </c>
    </row>
    <row r="304" spans="1:8">
      <c r="A304" s="43">
        <v>46118</v>
      </c>
      <c r="B304" t="s">
        <v>9</v>
      </c>
      <c r="C304" t="s">
        <v>20</v>
      </c>
      <c r="D304">
        <v>1601</v>
      </c>
      <c r="E304">
        <v>0</v>
      </c>
      <c r="F304" cm="1">
        <f t="array" ref="F304">_xlfn.IFS(B304="tt",D304/100*7*3900/1000,B304="order",D304/1000)</f>
        <v>437.073</v>
      </c>
      <c r="G304" s="44" cm="1">
        <f t="array" ref="G304">_xlfn.IFS(B304="tt",E304/100*7*3900/1000,B304="order",E304/1000)</f>
        <v>0</v>
      </c>
      <c r="H304" t="str">
        <f t="shared" si="4"/>
        <v>202604</v>
      </c>
    </row>
    <row r="305" spans="1:8">
      <c r="A305" s="43">
        <v>46119</v>
      </c>
      <c r="B305" t="s">
        <v>9</v>
      </c>
      <c r="C305" t="s">
        <v>20</v>
      </c>
      <c r="D305">
        <v>3318</v>
      </c>
      <c r="E305">
        <v>0</v>
      </c>
      <c r="F305" cm="1">
        <f t="array" ref="F305">_xlfn.IFS(B305="tt",D305/100*7*3900/1000,B305="order",D305/1000)</f>
        <v>905.814</v>
      </c>
      <c r="G305" s="44" cm="1">
        <f t="array" ref="G305">_xlfn.IFS(B305="tt",E305/100*7*3900/1000,B305="order",E305/1000)</f>
        <v>0</v>
      </c>
      <c r="H305" t="str">
        <f t="shared" si="4"/>
        <v>202604</v>
      </c>
    </row>
    <row r="306" spans="1:8">
      <c r="A306" s="43">
        <v>46120</v>
      </c>
      <c r="B306" t="s">
        <v>9</v>
      </c>
      <c r="C306" t="s">
        <v>20</v>
      </c>
      <c r="D306">
        <v>1636</v>
      </c>
      <c r="E306">
        <v>0</v>
      </c>
      <c r="F306" cm="1">
        <f t="array" ref="F306">_xlfn.IFS(B306="tt",D306/100*7*3900/1000,B306="order",D306/1000)</f>
        <v>446.628</v>
      </c>
      <c r="G306" s="44" cm="1">
        <f t="array" ref="G306">_xlfn.IFS(B306="tt",E306/100*7*3900/1000,B306="order",E306/1000)</f>
        <v>0</v>
      </c>
      <c r="H306" t="str">
        <f t="shared" si="4"/>
        <v>202604</v>
      </c>
    </row>
    <row r="307" spans="1:8">
      <c r="A307" s="43">
        <v>46101</v>
      </c>
      <c r="B307" t="s">
        <v>9</v>
      </c>
      <c r="C307" t="s">
        <v>21</v>
      </c>
      <c r="D307">
        <v>729</v>
      </c>
      <c r="E307">
        <v>0</v>
      </c>
      <c r="F307" cm="1">
        <f t="array" ref="F307">_xlfn.IFS(B307="tt",D307/100*7*3900/1000,B307="order",D307/1000)</f>
        <v>199.017</v>
      </c>
      <c r="G307" s="44" cm="1">
        <f t="array" ref="G307">_xlfn.IFS(B307="tt",E307/100*7*3900/1000,B307="order",E307/1000)</f>
        <v>0</v>
      </c>
      <c r="H307" t="str">
        <f t="shared" si="4"/>
        <v>202603</v>
      </c>
    </row>
    <row r="308" spans="1:8">
      <c r="A308" s="43">
        <v>46102</v>
      </c>
      <c r="B308" t="s">
        <v>9</v>
      </c>
      <c r="C308" t="s">
        <v>21</v>
      </c>
      <c r="D308">
        <v>923</v>
      </c>
      <c r="E308">
        <v>0</v>
      </c>
      <c r="F308" cm="1">
        <f t="array" ref="F308">_xlfn.IFS(B308="tt",D308/100*7*3900/1000,B308="order",D308/1000)</f>
        <v>251.979</v>
      </c>
      <c r="G308" s="44" cm="1">
        <f t="array" ref="G308">_xlfn.IFS(B308="tt",E308/100*7*3900/1000,B308="order",E308/1000)</f>
        <v>0</v>
      </c>
      <c r="H308" t="str">
        <f t="shared" si="4"/>
        <v>202603</v>
      </c>
    </row>
    <row r="309" spans="1:8">
      <c r="A309" s="43">
        <v>46103</v>
      </c>
      <c r="B309" t="s">
        <v>9</v>
      </c>
      <c r="C309" t="s">
        <v>21</v>
      </c>
      <c r="D309">
        <v>278</v>
      </c>
      <c r="E309">
        <v>0</v>
      </c>
      <c r="F309" cm="1">
        <f t="array" ref="F309">_xlfn.IFS(B309="tt",D309/100*7*3900/1000,B309="order",D309/1000)</f>
        <v>75.894</v>
      </c>
      <c r="G309" s="44" cm="1">
        <f t="array" ref="G309">_xlfn.IFS(B309="tt",E309/100*7*3900/1000,B309="order",E309/1000)</f>
        <v>0</v>
      </c>
      <c r="H309" t="str">
        <f t="shared" si="4"/>
        <v>202603</v>
      </c>
    </row>
    <row r="310" spans="1:8">
      <c r="A310" s="43">
        <v>46104</v>
      </c>
      <c r="B310" t="s">
        <v>9</v>
      </c>
      <c r="C310" t="s">
        <v>21</v>
      </c>
      <c r="D310">
        <v>632</v>
      </c>
      <c r="E310">
        <v>0</v>
      </c>
      <c r="F310" cm="1">
        <f t="array" ref="F310">_xlfn.IFS(B310="tt",D310/100*7*3900/1000,B310="order",D310/1000)</f>
        <v>172.536</v>
      </c>
      <c r="G310" s="44" cm="1">
        <f t="array" ref="G310">_xlfn.IFS(B310="tt",E310/100*7*3900/1000,B310="order",E310/1000)</f>
        <v>0</v>
      </c>
      <c r="H310" t="str">
        <f t="shared" si="4"/>
        <v>202603</v>
      </c>
    </row>
    <row r="311" spans="1:8">
      <c r="A311" s="43">
        <v>46105</v>
      </c>
      <c r="B311" t="s">
        <v>9</v>
      </c>
      <c r="C311" t="s">
        <v>21</v>
      </c>
      <c r="D311">
        <v>294</v>
      </c>
      <c r="E311">
        <v>0</v>
      </c>
      <c r="F311" cm="1">
        <f t="array" ref="F311">_xlfn.IFS(B311="tt",D311/100*7*3900/1000,B311="order",D311/1000)</f>
        <v>80.262</v>
      </c>
      <c r="G311" s="44" cm="1">
        <f t="array" ref="G311">_xlfn.IFS(B311="tt",E311/100*7*3900/1000,B311="order",E311/1000)</f>
        <v>0</v>
      </c>
      <c r="H311" t="str">
        <f t="shared" si="4"/>
        <v>202603</v>
      </c>
    </row>
    <row r="312" spans="1:8">
      <c r="A312" s="43">
        <v>46106</v>
      </c>
      <c r="B312" t="s">
        <v>9</v>
      </c>
      <c r="C312" t="s">
        <v>21</v>
      </c>
      <c r="D312">
        <v>1419</v>
      </c>
      <c r="E312">
        <v>0</v>
      </c>
      <c r="F312" cm="1">
        <f t="array" ref="F312">_xlfn.IFS(B312="tt",D312/100*7*3900/1000,B312="order",D312/1000)</f>
        <v>387.387</v>
      </c>
      <c r="G312" s="44" cm="1">
        <f t="array" ref="G312">_xlfn.IFS(B312="tt",E312/100*7*3900/1000,B312="order",E312/1000)</f>
        <v>0</v>
      </c>
      <c r="H312" t="str">
        <f t="shared" si="4"/>
        <v>202603</v>
      </c>
    </row>
    <row r="313" spans="1:8">
      <c r="A313" s="43">
        <v>46107</v>
      </c>
      <c r="B313" t="s">
        <v>9</v>
      </c>
      <c r="C313" t="s">
        <v>21</v>
      </c>
      <c r="D313">
        <v>438</v>
      </c>
      <c r="E313">
        <v>0</v>
      </c>
      <c r="F313" cm="1">
        <f t="array" ref="F313">_xlfn.IFS(B313="tt",D313/100*7*3900/1000,B313="order",D313/1000)</f>
        <v>119.574</v>
      </c>
      <c r="G313" s="44" cm="1">
        <f t="array" ref="G313">_xlfn.IFS(B313="tt",E313/100*7*3900/1000,B313="order",E313/1000)</f>
        <v>0</v>
      </c>
      <c r="H313" t="str">
        <f t="shared" si="4"/>
        <v>202603</v>
      </c>
    </row>
    <row r="314" spans="1:8">
      <c r="A314" s="43">
        <v>46108</v>
      </c>
      <c r="B314" t="s">
        <v>9</v>
      </c>
      <c r="C314" t="s">
        <v>21</v>
      </c>
      <c r="D314">
        <v>335</v>
      </c>
      <c r="E314">
        <v>0</v>
      </c>
      <c r="F314" cm="1">
        <f t="array" ref="F314">_xlfn.IFS(B314="tt",D314/100*7*3900/1000,B314="order",D314/1000)</f>
        <v>91.455</v>
      </c>
      <c r="G314" s="44" cm="1">
        <f t="array" ref="G314">_xlfn.IFS(B314="tt",E314/100*7*3900/1000,B314="order",E314/1000)</f>
        <v>0</v>
      </c>
      <c r="H314" t="str">
        <f t="shared" si="4"/>
        <v>202603</v>
      </c>
    </row>
    <row r="315" spans="1:8">
      <c r="A315" s="43">
        <v>46110</v>
      </c>
      <c r="B315" t="s">
        <v>9</v>
      </c>
      <c r="C315" t="s">
        <v>21</v>
      </c>
      <c r="D315">
        <v>281</v>
      </c>
      <c r="E315">
        <v>0</v>
      </c>
      <c r="F315" cm="1">
        <f t="array" ref="F315">_xlfn.IFS(B315="tt",D315/100*7*3900/1000,B315="order",D315/1000)</f>
        <v>76.713</v>
      </c>
      <c r="G315" s="44" cm="1">
        <f t="array" ref="G315">_xlfn.IFS(B315="tt",E315/100*7*3900/1000,B315="order",E315/1000)</f>
        <v>0</v>
      </c>
      <c r="H315" t="str">
        <f t="shared" si="4"/>
        <v>202603</v>
      </c>
    </row>
    <row r="316" spans="1:8">
      <c r="A316" s="43">
        <v>46112</v>
      </c>
      <c r="B316" t="s">
        <v>9</v>
      </c>
      <c r="C316" t="s">
        <v>21</v>
      </c>
      <c r="D316">
        <v>568</v>
      </c>
      <c r="E316">
        <v>0</v>
      </c>
      <c r="F316" cm="1">
        <f t="array" ref="F316">_xlfn.IFS(B316="tt",D316/100*7*3900/1000,B316="order",D316/1000)</f>
        <v>155.064</v>
      </c>
      <c r="G316" s="44" cm="1">
        <f t="array" ref="G316">_xlfn.IFS(B316="tt",E316/100*7*3900/1000,B316="order",E316/1000)</f>
        <v>0</v>
      </c>
      <c r="H316" t="str">
        <f t="shared" si="4"/>
        <v>202603</v>
      </c>
    </row>
    <row r="317" spans="1:8">
      <c r="A317" s="43">
        <v>46113</v>
      </c>
      <c r="B317" t="s">
        <v>9</v>
      </c>
      <c r="C317" t="s">
        <v>21</v>
      </c>
      <c r="D317">
        <v>466</v>
      </c>
      <c r="E317">
        <v>0</v>
      </c>
      <c r="F317" cm="1">
        <f t="array" ref="F317">_xlfn.IFS(B317="tt",D317/100*7*3900/1000,B317="order",D317/1000)</f>
        <v>127.218</v>
      </c>
      <c r="G317" s="44" cm="1">
        <f t="array" ref="G317">_xlfn.IFS(B317="tt",E317/100*7*3900/1000,B317="order",E317/1000)</f>
        <v>0</v>
      </c>
      <c r="H317" t="str">
        <f t="shared" si="4"/>
        <v>202604</v>
      </c>
    </row>
    <row r="318" spans="1:8">
      <c r="A318" s="43">
        <v>46114</v>
      </c>
      <c r="B318" t="s">
        <v>9</v>
      </c>
      <c r="C318" t="s">
        <v>21</v>
      </c>
      <c r="D318">
        <v>97</v>
      </c>
      <c r="E318">
        <v>0</v>
      </c>
      <c r="F318" cm="1">
        <f t="array" ref="F318">_xlfn.IFS(B318="tt",D318/100*7*3900/1000,B318="order",D318/1000)</f>
        <v>26.481</v>
      </c>
      <c r="G318" s="44" cm="1">
        <f t="array" ref="G318">_xlfn.IFS(B318="tt",E318/100*7*3900/1000,B318="order",E318/1000)</f>
        <v>0</v>
      </c>
      <c r="H318" t="str">
        <f t="shared" si="4"/>
        <v>202604</v>
      </c>
    </row>
    <row r="319" spans="1:8">
      <c r="A319" s="43">
        <v>46116</v>
      </c>
      <c r="B319" t="s">
        <v>9</v>
      </c>
      <c r="C319" t="s">
        <v>21</v>
      </c>
      <c r="D319">
        <v>975</v>
      </c>
      <c r="E319">
        <v>0</v>
      </c>
      <c r="F319" cm="1">
        <f t="array" ref="F319">_xlfn.IFS(B319="tt",D319/100*7*3900/1000,B319="order",D319/1000)</f>
        <v>266.175</v>
      </c>
      <c r="G319" s="44" cm="1">
        <f t="array" ref="G319">_xlfn.IFS(B319="tt",E319/100*7*3900/1000,B319="order",E319/1000)</f>
        <v>0</v>
      </c>
      <c r="H319" t="str">
        <f t="shared" si="4"/>
        <v>202604</v>
      </c>
    </row>
    <row r="320" spans="1:8">
      <c r="A320" s="43">
        <v>46117</v>
      </c>
      <c r="B320" t="s">
        <v>9</v>
      </c>
      <c r="C320" t="s">
        <v>21</v>
      </c>
      <c r="D320">
        <v>764</v>
      </c>
      <c r="E320">
        <v>0</v>
      </c>
      <c r="F320" cm="1">
        <f t="array" ref="F320">_xlfn.IFS(B320="tt",D320/100*7*3900/1000,B320="order",D320/1000)</f>
        <v>208.572</v>
      </c>
      <c r="G320" s="44" cm="1">
        <f t="array" ref="G320">_xlfn.IFS(B320="tt",E320/100*7*3900/1000,B320="order",E320/1000)</f>
        <v>0</v>
      </c>
      <c r="H320" t="str">
        <f t="shared" si="4"/>
        <v>202604</v>
      </c>
    </row>
    <row r="321" spans="1:8">
      <c r="A321" s="43">
        <v>46119</v>
      </c>
      <c r="B321" t="s">
        <v>9</v>
      </c>
      <c r="C321" t="s">
        <v>21</v>
      </c>
      <c r="D321">
        <v>466</v>
      </c>
      <c r="E321">
        <v>0</v>
      </c>
      <c r="F321" cm="1">
        <f t="array" ref="F321">_xlfn.IFS(B321="tt",D321/100*7*3900/1000,B321="order",D321/1000)</f>
        <v>127.218</v>
      </c>
      <c r="G321" s="44" cm="1">
        <f t="array" ref="G321">_xlfn.IFS(B321="tt",E321/100*7*3900/1000,B321="order",E321/1000)</f>
        <v>0</v>
      </c>
      <c r="H321" t="str">
        <f t="shared" si="4"/>
        <v>202604</v>
      </c>
    </row>
    <row r="322" spans="1:8">
      <c r="A322" s="43">
        <v>46120</v>
      </c>
      <c r="B322" t="s">
        <v>9</v>
      </c>
      <c r="C322" t="s">
        <v>21</v>
      </c>
      <c r="D322">
        <v>174</v>
      </c>
      <c r="E322">
        <v>0</v>
      </c>
      <c r="F322" cm="1">
        <f t="array" ref="F322">_xlfn.IFS(B322="tt",D322/100*7*3900/1000,B322="order",D322/1000)</f>
        <v>47.502</v>
      </c>
      <c r="G322" s="44" cm="1">
        <f t="array" ref="G322">_xlfn.IFS(B322="tt",E322/100*7*3900/1000,B322="order",E322/1000)</f>
        <v>0</v>
      </c>
      <c r="H322" t="str">
        <f t="shared" si="4"/>
        <v>202604</v>
      </c>
    </row>
    <row r="323" spans="1:8">
      <c r="A323" s="43">
        <v>46121</v>
      </c>
      <c r="B323" t="s">
        <v>9</v>
      </c>
      <c r="C323" t="s">
        <v>21</v>
      </c>
      <c r="D323">
        <v>1537</v>
      </c>
      <c r="E323">
        <v>0</v>
      </c>
      <c r="F323" cm="1">
        <f t="array" ref="F323">_xlfn.IFS(B323="tt",D323/100*7*3900/1000,B323="order",D323/1000)</f>
        <v>419.601</v>
      </c>
      <c r="G323" s="44" cm="1">
        <f t="array" ref="G323">_xlfn.IFS(B323="tt",E323/100*7*3900/1000,B323="order",E323/1000)</f>
        <v>0</v>
      </c>
      <c r="H323" t="str">
        <f t="shared" ref="H323:H386" si="5">YEAR(A323)&amp;RIGHT("0"&amp;MONTH(A323),2)</f>
        <v>202604</v>
      </c>
    </row>
    <row r="324" spans="1:8">
      <c r="A324" s="43">
        <v>46114</v>
      </c>
      <c r="B324" t="s">
        <v>9</v>
      </c>
      <c r="C324" t="s">
        <v>22</v>
      </c>
      <c r="D324">
        <v>625</v>
      </c>
      <c r="E324">
        <v>0</v>
      </c>
      <c r="F324" cm="1">
        <f t="array" ref="F324">_xlfn.IFS(B324="tt",D324/100*7*3900/1000,B324="order",D324/1000)</f>
        <v>170.625</v>
      </c>
      <c r="G324" s="44" cm="1">
        <f t="array" ref="G324">_xlfn.IFS(B324="tt",E324/100*7*3900/1000,B324="order",E324/1000)</f>
        <v>0</v>
      </c>
      <c r="H324" t="str">
        <f t="shared" si="5"/>
        <v>202604</v>
      </c>
    </row>
    <row r="325" spans="1:8">
      <c r="A325" s="43">
        <v>46115</v>
      </c>
      <c r="B325" t="s">
        <v>9</v>
      </c>
      <c r="C325" t="s">
        <v>22</v>
      </c>
      <c r="D325">
        <v>327</v>
      </c>
      <c r="E325">
        <v>0</v>
      </c>
      <c r="F325" cm="1">
        <f t="array" ref="F325">_xlfn.IFS(B325="tt",D325/100*7*3900/1000,B325="order",D325/1000)</f>
        <v>89.271</v>
      </c>
      <c r="G325" s="44" cm="1">
        <f t="array" ref="G325">_xlfn.IFS(B325="tt",E325/100*7*3900/1000,B325="order",E325/1000)</f>
        <v>0</v>
      </c>
      <c r="H325" t="str">
        <f t="shared" si="5"/>
        <v>202604</v>
      </c>
    </row>
    <row r="326" spans="1:8">
      <c r="A326" s="43">
        <v>46116</v>
      </c>
      <c r="B326" t="s">
        <v>9</v>
      </c>
      <c r="C326" t="s">
        <v>22</v>
      </c>
      <c r="D326">
        <v>321</v>
      </c>
      <c r="E326">
        <v>0</v>
      </c>
      <c r="F326" cm="1">
        <f t="array" ref="F326">_xlfn.IFS(B326="tt",D326/100*7*3900/1000,B326="order",D326/1000)</f>
        <v>87.633</v>
      </c>
      <c r="G326" s="44" cm="1">
        <f t="array" ref="G326">_xlfn.IFS(B326="tt",E326/100*7*3900/1000,B326="order",E326/1000)</f>
        <v>0</v>
      </c>
      <c r="H326" t="str">
        <f t="shared" si="5"/>
        <v>202604</v>
      </c>
    </row>
    <row r="327" spans="1:8">
      <c r="A327" s="43">
        <v>46117</v>
      </c>
      <c r="B327" t="s">
        <v>9</v>
      </c>
      <c r="C327" t="s">
        <v>22</v>
      </c>
      <c r="D327">
        <v>618</v>
      </c>
      <c r="E327">
        <v>0</v>
      </c>
      <c r="F327" cm="1">
        <f t="array" ref="F327">_xlfn.IFS(B327="tt",D327/100*7*3900/1000,B327="order",D327/1000)</f>
        <v>168.714</v>
      </c>
      <c r="G327" s="44" cm="1">
        <f t="array" ref="G327">_xlfn.IFS(B327="tt",E327/100*7*3900/1000,B327="order",E327/1000)</f>
        <v>0</v>
      </c>
      <c r="H327" t="str">
        <f t="shared" si="5"/>
        <v>202604</v>
      </c>
    </row>
    <row r="328" spans="1:8">
      <c r="A328" s="43">
        <v>46118</v>
      </c>
      <c r="B328" t="s">
        <v>9</v>
      </c>
      <c r="C328" t="s">
        <v>22</v>
      </c>
      <c r="D328">
        <v>426</v>
      </c>
      <c r="E328">
        <v>0</v>
      </c>
      <c r="F328" cm="1">
        <f t="array" ref="F328">_xlfn.IFS(B328="tt",D328/100*7*3900/1000,B328="order",D328/1000)</f>
        <v>116.298</v>
      </c>
      <c r="G328" s="44" cm="1">
        <f t="array" ref="G328">_xlfn.IFS(B328="tt",E328/100*7*3900/1000,B328="order",E328/1000)</f>
        <v>0</v>
      </c>
      <c r="H328" t="str">
        <f t="shared" si="5"/>
        <v>202604</v>
      </c>
    </row>
    <row r="329" spans="1:8">
      <c r="A329" s="43">
        <v>46120</v>
      </c>
      <c r="B329" t="s">
        <v>9</v>
      </c>
      <c r="C329" t="s">
        <v>22</v>
      </c>
      <c r="D329">
        <v>522</v>
      </c>
      <c r="E329">
        <v>0</v>
      </c>
      <c r="F329" cm="1">
        <f t="array" ref="F329">_xlfn.IFS(B329="tt",D329/100*7*3900/1000,B329="order",D329/1000)</f>
        <v>142.506</v>
      </c>
      <c r="G329" s="44" cm="1">
        <f t="array" ref="G329">_xlfn.IFS(B329="tt",E329/100*7*3900/1000,B329="order",E329/1000)</f>
        <v>0</v>
      </c>
      <c r="H329" t="str">
        <f t="shared" si="5"/>
        <v>202604</v>
      </c>
    </row>
    <row r="330" spans="1:8">
      <c r="A330" s="43">
        <v>46121</v>
      </c>
      <c r="B330" t="s">
        <v>9</v>
      </c>
      <c r="C330" t="s">
        <v>22</v>
      </c>
      <c r="D330">
        <v>429</v>
      </c>
      <c r="E330">
        <v>0</v>
      </c>
      <c r="F330" cm="1">
        <f t="array" ref="F330">_xlfn.IFS(B330="tt",D330/100*7*3900/1000,B330="order",D330/1000)</f>
        <v>117.117</v>
      </c>
      <c r="G330" s="44" cm="1">
        <f t="array" ref="G330">_xlfn.IFS(B330="tt",E330/100*7*3900/1000,B330="order",E330/1000)</f>
        <v>0</v>
      </c>
      <c r="H330" t="str">
        <f t="shared" si="5"/>
        <v>202604</v>
      </c>
    </row>
    <row r="331" spans="1:8">
      <c r="A331" s="43">
        <v>46115</v>
      </c>
      <c r="B331" t="s">
        <v>9</v>
      </c>
      <c r="C331" t="s">
        <v>23</v>
      </c>
      <c r="D331">
        <v>1044</v>
      </c>
      <c r="E331">
        <v>0</v>
      </c>
      <c r="F331" cm="1">
        <f t="array" ref="F331">_xlfn.IFS(B331="tt",D331/100*7*3900/1000,B331="order",D331/1000)</f>
        <v>285.012</v>
      </c>
      <c r="G331" s="44" cm="1">
        <f t="array" ref="G331">_xlfn.IFS(B331="tt",E331/100*7*3900/1000,B331="order",E331/1000)</f>
        <v>0</v>
      </c>
      <c r="H331" t="str">
        <f t="shared" si="5"/>
        <v>202604</v>
      </c>
    </row>
    <row r="332" spans="1:8">
      <c r="A332" s="43">
        <v>46116</v>
      </c>
      <c r="B332" t="s">
        <v>9</v>
      </c>
      <c r="C332" t="s">
        <v>23</v>
      </c>
      <c r="D332">
        <v>270</v>
      </c>
      <c r="E332">
        <v>0</v>
      </c>
      <c r="F332" cm="1">
        <f t="array" ref="F332">_xlfn.IFS(B332="tt",D332/100*7*3900/1000,B332="order",D332/1000)</f>
        <v>73.71</v>
      </c>
      <c r="G332" s="44" cm="1">
        <f t="array" ref="G332">_xlfn.IFS(B332="tt",E332/100*7*3900/1000,B332="order",E332/1000)</f>
        <v>0</v>
      </c>
      <c r="H332" t="str">
        <f t="shared" si="5"/>
        <v>202604</v>
      </c>
    </row>
    <row r="333" spans="1:8">
      <c r="A333" s="43">
        <v>46117</v>
      </c>
      <c r="B333" t="s">
        <v>9</v>
      </c>
      <c r="C333" t="s">
        <v>23</v>
      </c>
      <c r="D333">
        <v>783</v>
      </c>
      <c r="E333">
        <v>0</v>
      </c>
      <c r="F333" cm="1">
        <f t="array" ref="F333">_xlfn.IFS(B333="tt",D333/100*7*3900/1000,B333="order",D333/1000)</f>
        <v>213.759</v>
      </c>
      <c r="G333" s="44" cm="1">
        <f t="array" ref="G333">_xlfn.IFS(B333="tt",E333/100*7*3900/1000,B333="order",E333/1000)</f>
        <v>0</v>
      </c>
      <c r="H333" t="str">
        <f t="shared" si="5"/>
        <v>202604</v>
      </c>
    </row>
    <row r="334" spans="1:8">
      <c r="A334" s="43">
        <v>46118</v>
      </c>
      <c r="B334" t="s">
        <v>9</v>
      </c>
      <c r="C334" t="s">
        <v>23</v>
      </c>
      <c r="D334">
        <v>327</v>
      </c>
      <c r="E334">
        <v>0</v>
      </c>
      <c r="F334" cm="1">
        <f t="array" ref="F334">_xlfn.IFS(B334="tt",D334/100*7*3900/1000,B334="order",D334/1000)</f>
        <v>89.271</v>
      </c>
      <c r="G334" s="44" cm="1">
        <f t="array" ref="G334">_xlfn.IFS(B334="tt",E334/100*7*3900/1000,B334="order",E334/1000)</f>
        <v>0</v>
      </c>
      <c r="H334" t="str">
        <f t="shared" si="5"/>
        <v>202604</v>
      </c>
    </row>
    <row r="335" spans="1:8">
      <c r="A335" s="43">
        <v>46119</v>
      </c>
      <c r="B335" t="s">
        <v>9</v>
      </c>
      <c r="C335" t="s">
        <v>23</v>
      </c>
      <c r="D335">
        <v>1141</v>
      </c>
      <c r="E335">
        <v>0</v>
      </c>
      <c r="F335" cm="1">
        <f t="array" ref="F335">_xlfn.IFS(B335="tt",D335/100*7*3900/1000,B335="order",D335/1000)</f>
        <v>311.493</v>
      </c>
      <c r="G335" s="44" cm="1">
        <f t="array" ref="G335">_xlfn.IFS(B335="tt",E335/100*7*3900/1000,B335="order",E335/1000)</f>
        <v>0</v>
      </c>
      <c r="H335" t="str">
        <f t="shared" si="5"/>
        <v>202604</v>
      </c>
    </row>
    <row r="336" spans="1:8">
      <c r="A336" s="43">
        <v>46121</v>
      </c>
      <c r="B336" t="s">
        <v>9</v>
      </c>
      <c r="C336" t="s">
        <v>23</v>
      </c>
      <c r="D336">
        <v>1557</v>
      </c>
      <c r="E336">
        <v>0</v>
      </c>
      <c r="F336" cm="1">
        <f t="array" ref="F336">_xlfn.IFS(B336="tt",D336/100*7*3900/1000,B336="order",D336/1000)</f>
        <v>425.061</v>
      </c>
      <c r="G336" s="44" cm="1">
        <f t="array" ref="G336">_xlfn.IFS(B336="tt",E336/100*7*3900/1000,B336="order",E336/1000)</f>
        <v>0</v>
      </c>
      <c r="H336" t="str">
        <f t="shared" si="5"/>
        <v>202604</v>
      </c>
    </row>
    <row r="337" spans="1:8">
      <c r="A337" s="43">
        <v>46043</v>
      </c>
      <c r="B337" t="s">
        <v>19</v>
      </c>
      <c r="C337" t="s">
        <v>10</v>
      </c>
      <c r="D337">
        <v>22000</v>
      </c>
      <c r="E337">
        <v>5500</v>
      </c>
      <c r="F337" cm="1">
        <f t="array" ref="F337">_xlfn.IFS(B337="tt",D337/100*7*3900/1000,B337="order",D337/1000)</f>
        <v>22</v>
      </c>
      <c r="G337" s="44" cm="1">
        <f t="array" ref="G337">_xlfn.IFS(B337="tt",E337/100*7*3900/1000,B337="order",E337/1000)</f>
        <v>5.5</v>
      </c>
      <c r="H337" t="str">
        <f t="shared" si="5"/>
        <v>202601</v>
      </c>
    </row>
    <row r="338" spans="1:8">
      <c r="A338" s="43">
        <v>46044</v>
      </c>
      <c r="B338" t="s">
        <v>19</v>
      </c>
      <c r="C338" t="s">
        <v>10</v>
      </c>
      <c r="D338">
        <v>109000</v>
      </c>
      <c r="E338">
        <v>27250</v>
      </c>
      <c r="F338" cm="1">
        <f t="array" ref="F338">_xlfn.IFS(B338="tt",D338/100*7*3900/1000,B338="order",D338/1000)</f>
        <v>109</v>
      </c>
      <c r="G338" s="44" cm="1">
        <f t="array" ref="G338">_xlfn.IFS(B338="tt",E338/100*7*3900/1000,B338="order",E338/1000)</f>
        <v>27.25</v>
      </c>
      <c r="H338" t="str">
        <f t="shared" si="5"/>
        <v>202601</v>
      </c>
    </row>
    <row r="339" spans="1:8">
      <c r="A339" s="43">
        <v>46046</v>
      </c>
      <c r="B339" t="s">
        <v>19</v>
      </c>
      <c r="C339" t="s">
        <v>10</v>
      </c>
      <c r="D339">
        <v>44000</v>
      </c>
      <c r="E339">
        <v>11000</v>
      </c>
      <c r="F339" cm="1">
        <f t="array" ref="F339">_xlfn.IFS(B339="tt",D339/100*7*3900/1000,B339="order",D339/1000)</f>
        <v>44</v>
      </c>
      <c r="G339" s="44" cm="1">
        <f t="array" ref="G339">_xlfn.IFS(B339="tt",E339/100*7*3900/1000,B339="order",E339/1000)</f>
        <v>11</v>
      </c>
      <c r="H339" t="str">
        <f t="shared" si="5"/>
        <v>202601</v>
      </c>
    </row>
    <row r="340" spans="1:8">
      <c r="A340" s="43">
        <v>46047</v>
      </c>
      <c r="B340" t="s">
        <v>19</v>
      </c>
      <c r="C340" t="s">
        <v>10</v>
      </c>
      <c r="D340">
        <v>327000</v>
      </c>
      <c r="E340">
        <v>81750</v>
      </c>
      <c r="F340" cm="1">
        <f t="array" ref="F340">_xlfn.IFS(B340="tt",D340/100*7*3900/1000,B340="order",D340/1000)</f>
        <v>327</v>
      </c>
      <c r="G340" s="44" cm="1">
        <f t="array" ref="G340">_xlfn.IFS(B340="tt",E340/100*7*3900/1000,B340="order",E340/1000)</f>
        <v>81.75</v>
      </c>
      <c r="H340" t="str">
        <f t="shared" si="5"/>
        <v>202601</v>
      </c>
    </row>
    <row r="341" spans="1:8">
      <c r="A341" s="43">
        <v>46051</v>
      </c>
      <c r="B341" t="s">
        <v>19</v>
      </c>
      <c r="C341" t="s">
        <v>10</v>
      </c>
      <c r="D341">
        <v>491000</v>
      </c>
      <c r="E341">
        <v>122750</v>
      </c>
      <c r="F341" cm="1">
        <f t="array" ref="F341">_xlfn.IFS(B341="tt",D341/100*7*3900/1000,B341="order",D341/1000)</f>
        <v>491</v>
      </c>
      <c r="G341" s="44" cm="1">
        <f t="array" ref="G341">_xlfn.IFS(B341="tt",E341/100*7*3900/1000,B341="order",E341/1000)</f>
        <v>122.75</v>
      </c>
      <c r="H341" t="str">
        <f t="shared" si="5"/>
        <v>202601</v>
      </c>
    </row>
    <row r="342" spans="1:8">
      <c r="A342" s="43">
        <v>46052</v>
      </c>
      <c r="B342" t="s">
        <v>19</v>
      </c>
      <c r="C342" t="s">
        <v>10</v>
      </c>
      <c r="D342">
        <v>1056000</v>
      </c>
      <c r="E342">
        <v>264000</v>
      </c>
      <c r="F342" cm="1">
        <f t="array" ref="F342">_xlfn.IFS(B342="tt",D342/100*7*3900/1000,B342="order",D342/1000)</f>
        <v>1056</v>
      </c>
      <c r="G342" s="44" cm="1">
        <f t="array" ref="G342">_xlfn.IFS(B342="tt",E342/100*7*3900/1000,B342="order",E342/1000)</f>
        <v>264</v>
      </c>
      <c r="H342" t="str">
        <f t="shared" si="5"/>
        <v>202601</v>
      </c>
    </row>
    <row r="343" spans="1:8">
      <c r="A343" s="43">
        <v>46053</v>
      </c>
      <c r="B343" t="s">
        <v>19</v>
      </c>
      <c r="C343" t="s">
        <v>10</v>
      </c>
      <c r="D343">
        <v>2438000</v>
      </c>
      <c r="E343">
        <v>609500</v>
      </c>
      <c r="F343" cm="1">
        <f t="array" ref="F343">_xlfn.IFS(B343="tt",D343/100*7*3900/1000,B343="order",D343/1000)</f>
        <v>2438</v>
      </c>
      <c r="G343" s="44" cm="1">
        <f t="array" ref="G343">_xlfn.IFS(B343="tt",E343/100*7*3900/1000,B343="order",E343/1000)</f>
        <v>609.5</v>
      </c>
      <c r="H343" t="str">
        <f t="shared" si="5"/>
        <v>202601</v>
      </c>
    </row>
    <row r="344" spans="1:8">
      <c r="A344" s="43">
        <v>46054</v>
      </c>
      <c r="B344" t="s">
        <v>19</v>
      </c>
      <c r="C344" t="s">
        <v>10</v>
      </c>
      <c r="D344">
        <v>14507000</v>
      </c>
      <c r="E344">
        <v>3626750</v>
      </c>
      <c r="F344" cm="1">
        <f t="array" ref="F344">_xlfn.IFS(B344="tt",D344/100*7*3900/1000,B344="order",D344/1000)</f>
        <v>14507</v>
      </c>
      <c r="G344" s="44" cm="1">
        <f t="array" ref="G344">_xlfn.IFS(B344="tt",E344/100*7*3900/1000,B344="order",E344/1000)</f>
        <v>3626.75</v>
      </c>
      <c r="H344" t="str">
        <f t="shared" si="5"/>
        <v>202602</v>
      </c>
    </row>
    <row r="345" spans="1:8">
      <c r="A345" s="43">
        <v>46055</v>
      </c>
      <c r="B345" t="s">
        <v>19</v>
      </c>
      <c r="C345" t="s">
        <v>10</v>
      </c>
      <c r="D345">
        <v>6674000</v>
      </c>
      <c r="E345">
        <v>1668500</v>
      </c>
      <c r="F345" cm="1">
        <f t="array" ref="F345">_xlfn.IFS(B345="tt",D345/100*7*3900/1000,B345="order",D345/1000)</f>
        <v>6674</v>
      </c>
      <c r="G345" s="44" cm="1">
        <f t="array" ref="G345">_xlfn.IFS(B345="tt",E345/100*7*3900/1000,B345="order",E345/1000)</f>
        <v>1668.5</v>
      </c>
      <c r="H345" t="str">
        <f t="shared" si="5"/>
        <v>202602</v>
      </c>
    </row>
    <row r="346" spans="1:8">
      <c r="A346" s="43">
        <v>46056</v>
      </c>
      <c r="B346" t="s">
        <v>19</v>
      </c>
      <c r="C346" t="s">
        <v>10</v>
      </c>
      <c r="D346">
        <v>285000</v>
      </c>
      <c r="E346">
        <v>71250</v>
      </c>
      <c r="F346" cm="1">
        <f t="array" ref="F346">_xlfn.IFS(B346="tt",D346/100*7*3900/1000,B346="order",D346/1000)</f>
        <v>285</v>
      </c>
      <c r="G346" s="44" cm="1">
        <f t="array" ref="G346">_xlfn.IFS(B346="tt",E346/100*7*3900/1000,B346="order",E346/1000)</f>
        <v>71.25</v>
      </c>
      <c r="H346" t="str">
        <f t="shared" si="5"/>
        <v>202602</v>
      </c>
    </row>
    <row r="347" spans="1:8">
      <c r="A347" s="43">
        <v>46057</v>
      </c>
      <c r="B347" t="s">
        <v>19</v>
      </c>
      <c r="C347" t="s">
        <v>10</v>
      </c>
      <c r="D347">
        <v>9170000</v>
      </c>
      <c r="E347">
        <v>2292500</v>
      </c>
      <c r="F347" cm="1">
        <f t="array" ref="F347">_xlfn.IFS(B347="tt",D347/100*7*3900/1000,B347="order",D347/1000)</f>
        <v>9170</v>
      </c>
      <c r="G347" s="44" cm="1">
        <f t="array" ref="G347">_xlfn.IFS(B347="tt",E347/100*7*3900/1000,B347="order",E347/1000)</f>
        <v>2292.5</v>
      </c>
      <c r="H347" t="str">
        <f t="shared" si="5"/>
        <v>202602</v>
      </c>
    </row>
    <row r="348" spans="1:8">
      <c r="A348" s="43">
        <v>46058</v>
      </c>
      <c r="B348" t="s">
        <v>19</v>
      </c>
      <c r="C348" t="s">
        <v>10</v>
      </c>
      <c r="D348">
        <v>5967000</v>
      </c>
      <c r="E348">
        <v>1491750</v>
      </c>
      <c r="F348" cm="1">
        <f t="array" ref="F348">_xlfn.IFS(B348="tt",D348/100*7*3900/1000,B348="order",D348/1000)</f>
        <v>5967</v>
      </c>
      <c r="G348" s="44" cm="1">
        <f t="array" ref="G348">_xlfn.IFS(B348="tt",E348/100*7*3900/1000,B348="order",E348/1000)</f>
        <v>1491.75</v>
      </c>
      <c r="H348" t="str">
        <f t="shared" si="5"/>
        <v>202602</v>
      </c>
    </row>
    <row r="349" spans="1:8">
      <c r="A349" s="43">
        <v>46059</v>
      </c>
      <c r="B349" t="s">
        <v>19</v>
      </c>
      <c r="C349" t="s">
        <v>10</v>
      </c>
      <c r="D349">
        <v>3298000</v>
      </c>
      <c r="E349">
        <v>824500</v>
      </c>
      <c r="F349" cm="1">
        <f t="array" ref="F349">_xlfn.IFS(B349="tt",D349/100*7*3900/1000,B349="order",D349/1000)</f>
        <v>3298</v>
      </c>
      <c r="G349" s="44" cm="1">
        <f t="array" ref="G349">_xlfn.IFS(B349="tt",E349/100*7*3900/1000,B349="order",E349/1000)</f>
        <v>824.5</v>
      </c>
      <c r="H349" t="str">
        <f t="shared" si="5"/>
        <v>202602</v>
      </c>
    </row>
    <row r="350" spans="1:8">
      <c r="A350" s="43">
        <v>46060</v>
      </c>
      <c r="B350" t="s">
        <v>19</v>
      </c>
      <c r="C350" t="s">
        <v>10</v>
      </c>
      <c r="D350">
        <v>4043000</v>
      </c>
      <c r="E350">
        <v>1010750</v>
      </c>
      <c r="F350" cm="1">
        <f t="array" ref="F350">_xlfn.IFS(B350="tt",D350/100*7*3900/1000,B350="order",D350/1000)</f>
        <v>4043</v>
      </c>
      <c r="G350" s="44" cm="1">
        <f t="array" ref="G350">_xlfn.IFS(B350="tt",E350/100*7*3900/1000,B350="order",E350/1000)</f>
        <v>1010.75</v>
      </c>
      <c r="H350" t="str">
        <f t="shared" si="5"/>
        <v>202602</v>
      </c>
    </row>
    <row r="351" spans="1:8">
      <c r="A351" s="43">
        <v>46061</v>
      </c>
      <c r="B351" t="s">
        <v>19</v>
      </c>
      <c r="C351" t="s">
        <v>10</v>
      </c>
      <c r="D351">
        <v>5804000</v>
      </c>
      <c r="E351">
        <v>1451000</v>
      </c>
      <c r="F351" cm="1">
        <f t="array" ref="F351">_xlfn.IFS(B351="tt",D351/100*7*3900/1000,B351="order",D351/1000)</f>
        <v>5804</v>
      </c>
      <c r="G351" s="44" cm="1">
        <f t="array" ref="G351">_xlfn.IFS(B351="tt",E351/100*7*3900/1000,B351="order",E351/1000)</f>
        <v>1451</v>
      </c>
      <c r="H351" t="str">
        <f t="shared" si="5"/>
        <v>202602</v>
      </c>
    </row>
    <row r="352" spans="1:8">
      <c r="A352" s="43">
        <v>46062</v>
      </c>
      <c r="B352" t="s">
        <v>19</v>
      </c>
      <c r="C352" t="s">
        <v>10</v>
      </c>
      <c r="D352">
        <v>2498000</v>
      </c>
      <c r="E352">
        <v>624500</v>
      </c>
      <c r="F352" cm="1">
        <f t="array" ref="F352">_xlfn.IFS(B352="tt",D352/100*7*3900/1000,B352="order",D352/1000)</f>
        <v>2498</v>
      </c>
      <c r="G352" s="44" cm="1">
        <f t="array" ref="G352">_xlfn.IFS(B352="tt",E352/100*7*3900/1000,B352="order",E352/1000)</f>
        <v>624.5</v>
      </c>
      <c r="H352" t="str">
        <f t="shared" si="5"/>
        <v>202602</v>
      </c>
    </row>
    <row r="353" spans="1:8">
      <c r="A353" s="43">
        <v>46063</v>
      </c>
      <c r="B353" t="s">
        <v>19</v>
      </c>
      <c r="C353" t="s">
        <v>10</v>
      </c>
      <c r="D353">
        <v>2899000</v>
      </c>
      <c r="E353">
        <v>724750</v>
      </c>
      <c r="F353" cm="1">
        <f t="array" ref="F353">_xlfn.IFS(B353="tt",D353/100*7*3900/1000,B353="order",D353/1000)</f>
        <v>2899</v>
      </c>
      <c r="G353" s="44" cm="1">
        <f t="array" ref="G353">_xlfn.IFS(B353="tt",E353/100*7*3900/1000,B353="order",E353/1000)</f>
        <v>724.75</v>
      </c>
      <c r="H353" t="str">
        <f t="shared" si="5"/>
        <v>202602</v>
      </c>
    </row>
    <row r="354" spans="1:8">
      <c r="A354" s="43">
        <v>46064</v>
      </c>
      <c r="B354" t="s">
        <v>19</v>
      </c>
      <c r="C354" t="s">
        <v>10</v>
      </c>
      <c r="D354">
        <v>10738000</v>
      </c>
      <c r="E354">
        <v>2684500</v>
      </c>
      <c r="F354" cm="1">
        <f t="array" ref="F354">_xlfn.IFS(B354="tt",D354/100*7*3900/1000,B354="order",D354/1000)</f>
        <v>10738</v>
      </c>
      <c r="G354" s="44" cm="1">
        <f t="array" ref="G354">_xlfn.IFS(B354="tt",E354/100*7*3900/1000,B354="order",E354/1000)</f>
        <v>2684.5</v>
      </c>
      <c r="H354" t="str">
        <f t="shared" si="5"/>
        <v>202602</v>
      </c>
    </row>
    <row r="355" spans="1:8">
      <c r="A355" s="43">
        <v>46065</v>
      </c>
      <c r="B355" t="s">
        <v>19</v>
      </c>
      <c r="C355" t="s">
        <v>10</v>
      </c>
      <c r="D355">
        <v>3988000</v>
      </c>
      <c r="E355">
        <v>997000</v>
      </c>
      <c r="F355" cm="1">
        <f t="array" ref="F355">_xlfn.IFS(B355="tt",D355/100*7*3900/1000,B355="order",D355/1000)</f>
        <v>3988</v>
      </c>
      <c r="G355" s="44" cm="1">
        <f t="array" ref="G355">_xlfn.IFS(B355="tt",E355/100*7*3900/1000,B355="order",E355/1000)</f>
        <v>997</v>
      </c>
      <c r="H355" t="str">
        <f t="shared" si="5"/>
        <v>202602</v>
      </c>
    </row>
    <row r="356" spans="1:8">
      <c r="A356" s="43">
        <v>46066</v>
      </c>
      <c r="B356" t="s">
        <v>19</v>
      </c>
      <c r="C356" t="s">
        <v>10</v>
      </c>
      <c r="D356">
        <v>4335000</v>
      </c>
      <c r="E356">
        <v>1083750</v>
      </c>
      <c r="F356" cm="1">
        <f t="array" ref="F356">_xlfn.IFS(B356="tt",D356/100*7*3900/1000,B356="order",D356/1000)</f>
        <v>4335</v>
      </c>
      <c r="G356" s="44" cm="1">
        <f t="array" ref="G356">_xlfn.IFS(B356="tt",E356/100*7*3900/1000,B356="order",E356/1000)</f>
        <v>1083.75</v>
      </c>
      <c r="H356" t="str">
        <f t="shared" si="5"/>
        <v>202602</v>
      </c>
    </row>
    <row r="357" spans="1:8">
      <c r="A357" s="43">
        <v>46067</v>
      </c>
      <c r="B357" t="s">
        <v>19</v>
      </c>
      <c r="C357" t="s">
        <v>10</v>
      </c>
      <c r="D357">
        <v>9516000</v>
      </c>
      <c r="E357">
        <v>2379000</v>
      </c>
      <c r="F357" cm="1">
        <f t="array" ref="F357">_xlfn.IFS(B357="tt",D357/100*7*3900/1000,B357="order",D357/1000)</f>
        <v>9516</v>
      </c>
      <c r="G357" s="44" cm="1">
        <f t="array" ref="G357">_xlfn.IFS(B357="tt",E357/100*7*3900/1000,B357="order",E357/1000)</f>
        <v>2379</v>
      </c>
      <c r="H357" t="str">
        <f t="shared" si="5"/>
        <v>202602</v>
      </c>
    </row>
    <row r="358" spans="1:8">
      <c r="A358" s="43">
        <v>46068</v>
      </c>
      <c r="B358" t="s">
        <v>19</v>
      </c>
      <c r="C358" t="s">
        <v>10</v>
      </c>
      <c r="D358">
        <v>2676000</v>
      </c>
      <c r="E358">
        <v>669000</v>
      </c>
      <c r="F358" cm="1">
        <f t="array" ref="F358">_xlfn.IFS(B358="tt",D358/100*7*3900/1000,B358="order",D358/1000)</f>
        <v>2676</v>
      </c>
      <c r="G358" s="44" cm="1">
        <f t="array" ref="G358">_xlfn.IFS(B358="tt",E358/100*7*3900/1000,B358="order",E358/1000)</f>
        <v>669</v>
      </c>
      <c r="H358" t="str">
        <f t="shared" si="5"/>
        <v>202602</v>
      </c>
    </row>
    <row r="359" spans="1:8">
      <c r="A359" s="43">
        <v>46069</v>
      </c>
      <c r="B359" t="s">
        <v>19</v>
      </c>
      <c r="C359" t="s">
        <v>10</v>
      </c>
      <c r="D359">
        <v>10092000</v>
      </c>
      <c r="E359">
        <v>2523000</v>
      </c>
      <c r="F359" cm="1">
        <f t="array" ref="F359">_xlfn.IFS(B359="tt",D359/100*7*3900/1000,B359="order",D359/1000)</f>
        <v>10092</v>
      </c>
      <c r="G359" s="44" cm="1">
        <f t="array" ref="G359">_xlfn.IFS(B359="tt",E359/100*7*3900/1000,B359="order",E359/1000)</f>
        <v>2523</v>
      </c>
      <c r="H359" t="str">
        <f t="shared" si="5"/>
        <v>202602</v>
      </c>
    </row>
    <row r="360" spans="1:8">
      <c r="A360" s="43">
        <v>46070</v>
      </c>
      <c r="B360" t="s">
        <v>19</v>
      </c>
      <c r="C360" t="s">
        <v>10</v>
      </c>
      <c r="D360">
        <v>4773000</v>
      </c>
      <c r="E360">
        <v>1193250</v>
      </c>
      <c r="F360" cm="1">
        <f t="array" ref="F360">_xlfn.IFS(B360="tt",D360/100*7*3900/1000,B360="order",D360/1000)</f>
        <v>4773</v>
      </c>
      <c r="G360" s="44" cm="1">
        <f t="array" ref="G360">_xlfn.IFS(B360="tt",E360/100*7*3900/1000,B360="order",E360/1000)</f>
        <v>1193.25</v>
      </c>
      <c r="H360" t="str">
        <f t="shared" si="5"/>
        <v>202602</v>
      </c>
    </row>
    <row r="361" spans="1:8">
      <c r="A361" s="43">
        <v>46071</v>
      </c>
      <c r="B361" t="s">
        <v>19</v>
      </c>
      <c r="C361" t="s">
        <v>10</v>
      </c>
      <c r="D361">
        <v>3634000</v>
      </c>
      <c r="E361">
        <v>908500</v>
      </c>
      <c r="F361" cm="1">
        <f t="array" ref="F361">_xlfn.IFS(B361="tt",D361/100*7*3900/1000,B361="order",D361/1000)</f>
        <v>3634</v>
      </c>
      <c r="G361" s="44" cm="1">
        <f t="array" ref="G361">_xlfn.IFS(B361="tt",E361/100*7*3900/1000,B361="order",E361/1000)</f>
        <v>908.5</v>
      </c>
      <c r="H361" t="str">
        <f t="shared" si="5"/>
        <v>202602</v>
      </c>
    </row>
    <row r="362" spans="1:8">
      <c r="A362" s="43">
        <v>46072</v>
      </c>
      <c r="B362" t="s">
        <v>19</v>
      </c>
      <c r="C362" t="s">
        <v>10</v>
      </c>
      <c r="D362">
        <v>2499000</v>
      </c>
      <c r="E362">
        <v>624750</v>
      </c>
      <c r="F362" cm="1">
        <f t="array" ref="F362">_xlfn.IFS(B362="tt",D362/100*7*3900/1000,B362="order",D362/1000)</f>
        <v>2499</v>
      </c>
      <c r="G362" s="44" cm="1">
        <f t="array" ref="G362">_xlfn.IFS(B362="tt",E362/100*7*3900/1000,B362="order",E362/1000)</f>
        <v>624.75</v>
      </c>
      <c r="H362" t="str">
        <f t="shared" si="5"/>
        <v>202602</v>
      </c>
    </row>
    <row r="363" spans="1:8">
      <c r="A363" s="43">
        <v>46073</v>
      </c>
      <c r="B363" t="s">
        <v>19</v>
      </c>
      <c r="C363" t="s">
        <v>10</v>
      </c>
      <c r="D363">
        <v>4918000</v>
      </c>
      <c r="E363">
        <v>1229500</v>
      </c>
      <c r="F363" cm="1">
        <f t="array" ref="F363">_xlfn.IFS(B363="tt",D363/100*7*3900/1000,B363="order",D363/1000)</f>
        <v>4918</v>
      </c>
      <c r="G363" s="44" cm="1">
        <f t="array" ref="G363">_xlfn.IFS(B363="tt",E363/100*7*3900/1000,B363="order",E363/1000)</f>
        <v>1229.5</v>
      </c>
      <c r="H363" t="str">
        <f t="shared" si="5"/>
        <v>202602</v>
      </c>
    </row>
    <row r="364" spans="1:8">
      <c r="A364" s="43">
        <v>46074</v>
      </c>
      <c r="B364" t="s">
        <v>19</v>
      </c>
      <c r="C364" t="s">
        <v>10</v>
      </c>
      <c r="D364">
        <v>2616000</v>
      </c>
      <c r="E364">
        <v>654000</v>
      </c>
      <c r="F364" cm="1">
        <f t="array" ref="F364">_xlfn.IFS(B364="tt",D364/100*7*3900/1000,B364="order",D364/1000)</f>
        <v>2616</v>
      </c>
      <c r="G364" s="44" cm="1">
        <f t="array" ref="G364">_xlfn.IFS(B364="tt",E364/100*7*3900/1000,B364="order",E364/1000)</f>
        <v>654</v>
      </c>
      <c r="H364" t="str">
        <f t="shared" si="5"/>
        <v>202602</v>
      </c>
    </row>
    <row r="365" spans="1:8">
      <c r="A365" s="43">
        <v>46075</v>
      </c>
      <c r="B365" t="s">
        <v>19</v>
      </c>
      <c r="C365" t="s">
        <v>10</v>
      </c>
      <c r="D365">
        <v>1122000</v>
      </c>
      <c r="E365">
        <v>280500</v>
      </c>
      <c r="F365" cm="1">
        <f t="array" ref="F365">_xlfn.IFS(B365="tt",D365/100*7*3900/1000,B365="order",D365/1000)</f>
        <v>1122</v>
      </c>
      <c r="G365" s="44" cm="1">
        <f t="array" ref="G365">_xlfn.IFS(B365="tt",E365/100*7*3900/1000,B365="order",E365/1000)</f>
        <v>280.5</v>
      </c>
      <c r="H365" t="str">
        <f t="shared" si="5"/>
        <v>202602</v>
      </c>
    </row>
    <row r="366" spans="1:8">
      <c r="A366" s="43">
        <v>46076</v>
      </c>
      <c r="B366" t="s">
        <v>19</v>
      </c>
      <c r="C366" t="s">
        <v>10</v>
      </c>
      <c r="D366">
        <v>1620000</v>
      </c>
      <c r="E366">
        <v>405000</v>
      </c>
      <c r="F366" cm="1">
        <f t="array" ref="F366">_xlfn.IFS(B366="tt",D366/100*7*3900/1000,B366="order",D366/1000)</f>
        <v>1620</v>
      </c>
      <c r="G366" s="44" cm="1">
        <f t="array" ref="G366">_xlfn.IFS(B366="tt",E366/100*7*3900/1000,B366="order",E366/1000)</f>
        <v>405</v>
      </c>
      <c r="H366" t="str">
        <f t="shared" si="5"/>
        <v>202602</v>
      </c>
    </row>
    <row r="367" spans="1:8">
      <c r="A367" s="43">
        <v>46077</v>
      </c>
      <c r="B367" t="s">
        <v>19</v>
      </c>
      <c r="C367" t="s">
        <v>10</v>
      </c>
      <c r="D367">
        <v>1338000</v>
      </c>
      <c r="E367">
        <v>334500</v>
      </c>
      <c r="F367" cm="1">
        <f t="array" ref="F367">_xlfn.IFS(B367="tt",D367/100*7*3900/1000,B367="order",D367/1000)</f>
        <v>1338</v>
      </c>
      <c r="G367" s="44" cm="1">
        <f t="array" ref="G367">_xlfn.IFS(B367="tt",E367/100*7*3900/1000,B367="order",E367/1000)</f>
        <v>334.5</v>
      </c>
      <c r="H367" t="str">
        <f t="shared" si="5"/>
        <v>202602</v>
      </c>
    </row>
    <row r="368" spans="1:8">
      <c r="A368" s="43">
        <v>46078</v>
      </c>
      <c r="B368" t="s">
        <v>19</v>
      </c>
      <c r="C368" t="s">
        <v>10</v>
      </c>
      <c r="D368">
        <v>12744000</v>
      </c>
      <c r="E368">
        <v>3186000</v>
      </c>
      <c r="F368" cm="1">
        <f t="array" ref="F368">_xlfn.IFS(B368="tt",D368/100*7*3900/1000,B368="order",D368/1000)</f>
        <v>12744</v>
      </c>
      <c r="G368" s="44" cm="1">
        <f t="array" ref="G368">_xlfn.IFS(B368="tt",E368/100*7*3900/1000,B368="order",E368/1000)</f>
        <v>3186</v>
      </c>
      <c r="H368" t="str">
        <f t="shared" si="5"/>
        <v>202602</v>
      </c>
    </row>
    <row r="369" spans="1:8">
      <c r="A369" s="43">
        <v>46079</v>
      </c>
      <c r="B369" t="s">
        <v>19</v>
      </c>
      <c r="C369" t="s">
        <v>10</v>
      </c>
      <c r="D369">
        <v>2272000</v>
      </c>
      <c r="E369">
        <v>568000</v>
      </c>
      <c r="F369" cm="1">
        <f t="array" ref="F369">_xlfn.IFS(B369="tt",D369/100*7*3900/1000,B369="order",D369/1000)</f>
        <v>2272</v>
      </c>
      <c r="G369" s="44" cm="1">
        <f t="array" ref="G369">_xlfn.IFS(B369="tt",E369/100*7*3900/1000,B369="order",E369/1000)</f>
        <v>568</v>
      </c>
      <c r="H369" t="str">
        <f t="shared" si="5"/>
        <v>202602</v>
      </c>
    </row>
    <row r="370" spans="1:8">
      <c r="A370" s="43">
        <v>46080</v>
      </c>
      <c r="B370" t="s">
        <v>19</v>
      </c>
      <c r="C370" t="s">
        <v>10</v>
      </c>
      <c r="D370">
        <v>2094000</v>
      </c>
      <c r="E370">
        <v>523500</v>
      </c>
      <c r="F370" cm="1">
        <f t="array" ref="F370">_xlfn.IFS(B370="tt",D370/100*7*3900/1000,B370="order",D370/1000)</f>
        <v>2094</v>
      </c>
      <c r="G370" s="44" cm="1">
        <f t="array" ref="G370">_xlfn.IFS(B370="tt",E370/100*7*3900/1000,B370="order",E370/1000)</f>
        <v>523.5</v>
      </c>
      <c r="H370" t="str">
        <f t="shared" si="5"/>
        <v>202602</v>
      </c>
    </row>
    <row r="371" spans="1:8">
      <c r="A371" s="43">
        <v>46081</v>
      </c>
      <c r="B371" t="s">
        <v>19</v>
      </c>
      <c r="C371" t="s">
        <v>10</v>
      </c>
      <c r="D371">
        <v>2532000</v>
      </c>
      <c r="E371">
        <v>633000</v>
      </c>
      <c r="F371" cm="1">
        <f t="array" ref="F371">_xlfn.IFS(B371="tt",D371/100*7*3900/1000,B371="order",D371/1000)</f>
        <v>2532</v>
      </c>
      <c r="G371" s="44" cm="1">
        <f t="array" ref="G371">_xlfn.IFS(B371="tt",E371/100*7*3900/1000,B371="order",E371/1000)</f>
        <v>633</v>
      </c>
      <c r="H371" t="str">
        <f t="shared" si="5"/>
        <v>202602</v>
      </c>
    </row>
    <row r="372" spans="1:8">
      <c r="A372" s="43">
        <v>46082</v>
      </c>
      <c r="B372" t="s">
        <v>19</v>
      </c>
      <c r="C372" t="s">
        <v>10</v>
      </c>
      <c r="D372">
        <v>1412000</v>
      </c>
      <c r="E372">
        <v>353000</v>
      </c>
      <c r="F372" cm="1">
        <f t="array" ref="F372">_xlfn.IFS(B372="tt",D372/100*7*3900/1000,B372="order",D372/1000)</f>
        <v>1412</v>
      </c>
      <c r="G372" s="44" cm="1">
        <f t="array" ref="G372">_xlfn.IFS(B372="tt",E372/100*7*3900/1000,B372="order",E372/1000)</f>
        <v>353</v>
      </c>
      <c r="H372" t="str">
        <f t="shared" si="5"/>
        <v>202603</v>
      </c>
    </row>
    <row r="373" spans="1:8">
      <c r="A373" s="43">
        <v>46083</v>
      </c>
      <c r="B373" t="s">
        <v>19</v>
      </c>
      <c r="C373" t="s">
        <v>10</v>
      </c>
      <c r="D373">
        <v>809000</v>
      </c>
      <c r="E373">
        <v>202250</v>
      </c>
      <c r="F373" cm="1">
        <f t="array" ref="F373">_xlfn.IFS(B373="tt",D373/100*7*3900/1000,B373="order",D373/1000)</f>
        <v>809</v>
      </c>
      <c r="G373" s="44" cm="1">
        <f t="array" ref="G373">_xlfn.IFS(B373="tt",E373/100*7*3900/1000,B373="order",E373/1000)</f>
        <v>202.25</v>
      </c>
      <c r="H373" t="str">
        <f t="shared" si="5"/>
        <v>202603</v>
      </c>
    </row>
    <row r="374" spans="1:8">
      <c r="A374" s="43">
        <v>46084</v>
      </c>
      <c r="B374" t="s">
        <v>19</v>
      </c>
      <c r="C374" t="s">
        <v>10</v>
      </c>
      <c r="D374">
        <v>3140000</v>
      </c>
      <c r="E374">
        <v>785000</v>
      </c>
      <c r="F374" cm="1">
        <f t="array" ref="F374">_xlfn.IFS(B374="tt",D374/100*7*3900/1000,B374="order",D374/1000)</f>
        <v>3140</v>
      </c>
      <c r="G374" s="44" cm="1">
        <f t="array" ref="G374">_xlfn.IFS(B374="tt",E374/100*7*3900/1000,B374="order",E374/1000)</f>
        <v>785</v>
      </c>
      <c r="H374" t="str">
        <f t="shared" si="5"/>
        <v>202603</v>
      </c>
    </row>
    <row r="375" spans="1:8">
      <c r="A375" s="43">
        <v>46085</v>
      </c>
      <c r="B375" t="s">
        <v>19</v>
      </c>
      <c r="C375" t="s">
        <v>10</v>
      </c>
      <c r="D375">
        <v>3925000</v>
      </c>
      <c r="E375">
        <v>981250</v>
      </c>
      <c r="F375" cm="1">
        <f t="array" ref="F375">_xlfn.IFS(B375="tt",D375/100*7*3900/1000,B375="order",D375/1000)</f>
        <v>3925</v>
      </c>
      <c r="G375" s="44" cm="1">
        <f t="array" ref="G375">_xlfn.IFS(B375="tt",E375/100*7*3900/1000,B375="order",E375/1000)</f>
        <v>981.25</v>
      </c>
      <c r="H375" t="str">
        <f t="shared" si="5"/>
        <v>202603</v>
      </c>
    </row>
    <row r="376" spans="1:8">
      <c r="A376" s="43">
        <v>46086</v>
      </c>
      <c r="B376" t="s">
        <v>19</v>
      </c>
      <c r="C376" t="s">
        <v>10</v>
      </c>
      <c r="D376">
        <v>3750000</v>
      </c>
      <c r="E376">
        <v>937500</v>
      </c>
      <c r="F376" cm="1">
        <f t="array" ref="F376">_xlfn.IFS(B376="tt",D376/100*7*3900/1000,B376="order",D376/1000)</f>
        <v>3750</v>
      </c>
      <c r="G376" s="44" cm="1">
        <f t="array" ref="G376">_xlfn.IFS(B376="tt",E376/100*7*3900/1000,B376="order",E376/1000)</f>
        <v>937.5</v>
      </c>
      <c r="H376" t="str">
        <f t="shared" si="5"/>
        <v>202603</v>
      </c>
    </row>
    <row r="377" spans="1:8">
      <c r="A377" s="43">
        <v>46087</v>
      </c>
      <c r="B377" t="s">
        <v>19</v>
      </c>
      <c r="C377" t="s">
        <v>10</v>
      </c>
      <c r="D377">
        <v>10647000</v>
      </c>
      <c r="E377">
        <v>2661750</v>
      </c>
      <c r="F377" cm="1">
        <f t="array" ref="F377">_xlfn.IFS(B377="tt",D377/100*7*3900/1000,B377="order",D377/1000)</f>
        <v>10647</v>
      </c>
      <c r="G377" s="44" cm="1">
        <f t="array" ref="G377">_xlfn.IFS(B377="tt",E377/100*7*3900/1000,B377="order",E377/1000)</f>
        <v>2661.75</v>
      </c>
      <c r="H377" t="str">
        <f t="shared" si="5"/>
        <v>202603</v>
      </c>
    </row>
    <row r="378" spans="1:8">
      <c r="A378" s="43">
        <v>46088</v>
      </c>
      <c r="B378" t="s">
        <v>19</v>
      </c>
      <c r="C378" t="s">
        <v>10</v>
      </c>
      <c r="D378">
        <v>5753000</v>
      </c>
      <c r="E378">
        <v>1438250</v>
      </c>
      <c r="F378" cm="1">
        <f t="array" ref="F378">_xlfn.IFS(B378="tt",D378/100*7*3900/1000,B378="order",D378/1000)</f>
        <v>5753</v>
      </c>
      <c r="G378" s="44" cm="1">
        <f t="array" ref="G378">_xlfn.IFS(B378="tt",E378/100*7*3900/1000,B378="order",E378/1000)</f>
        <v>1438.25</v>
      </c>
      <c r="H378" t="str">
        <f t="shared" si="5"/>
        <v>202603</v>
      </c>
    </row>
    <row r="379" spans="1:8">
      <c r="A379" s="43">
        <v>46089</v>
      </c>
      <c r="B379" t="s">
        <v>19</v>
      </c>
      <c r="C379" t="s">
        <v>10</v>
      </c>
      <c r="D379">
        <v>1303000</v>
      </c>
      <c r="E379">
        <v>325750</v>
      </c>
      <c r="F379" cm="1">
        <f t="array" ref="F379">_xlfn.IFS(B379="tt",D379/100*7*3900/1000,B379="order",D379/1000)</f>
        <v>1303</v>
      </c>
      <c r="G379" s="44" cm="1">
        <f t="array" ref="G379">_xlfn.IFS(B379="tt",E379/100*7*3900/1000,B379="order",E379/1000)</f>
        <v>325.75</v>
      </c>
      <c r="H379" t="str">
        <f t="shared" si="5"/>
        <v>202603</v>
      </c>
    </row>
    <row r="380" spans="1:8">
      <c r="A380" s="43">
        <v>46090</v>
      </c>
      <c r="B380" t="s">
        <v>19</v>
      </c>
      <c r="C380" t="s">
        <v>10</v>
      </c>
      <c r="D380">
        <v>100000</v>
      </c>
      <c r="E380">
        <v>25000</v>
      </c>
      <c r="F380" cm="1">
        <f t="array" ref="F380">_xlfn.IFS(B380="tt",D380/100*7*3900/1000,B380="order",D380/1000)</f>
        <v>100</v>
      </c>
      <c r="G380" s="44" cm="1">
        <f t="array" ref="G380">_xlfn.IFS(B380="tt",E380/100*7*3900/1000,B380="order",E380/1000)</f>
        <v>25</v>
      </c>
      <c r="H380" t="str">
        <f t="shared" si="5"/>
        <v>202603</v>
      </c>
    </row>
    <row r="381" spans="1:8">
      <c r="A381" s="43">
        <v>46091</v>
      </c>
      <c r="B381" t="s">
        <v>19</v>
      </c>
      <c r="C381" t="s">
        <v>10</v>
      </c>
      <c r="D381">
        <v>1200000</v>
      </c>
      <c r="E381">
        <v>300000</v>
      </c>
      <c r="F381" cm="1">
        <f t="array" ref="F381">_xlfn.IFS(B381="tt",D381/100*7*3900/1000,B381="order",D381/1000)</f>
        <v>1200</v>
      </c>
      <c r="G381" s="44" cm="1">
        <f t="array" ref="G381">_xlfn.IFS(B381="tt",E381/100*7*3900/1000,B381="order",E381/1000)</f>
        <v>300</v>
      </c>
      <c r="H381" t="str">
        <f t="shared" si="5"/>
        <v>202603</v>
      </c>
    </row>
    <row r="382" spans="1:8">
      <c r="A382" s="43">
        <v>46092</v>
      </c>
      <c r="B382" t="s">
        <v>19</v>
      </c>
      <c r="C382" t="s">
        <v>10</v>
      </c>
      <c r="D382">
        <v>3256000</v>
      </c>
      <c r="E382">
        <v>814000</v>
      </c>
      <c r="F382" cm="1">
        <f t="array" ref="F382">_xlfn.IFS(B382="tt",D382/100*7*3900/1000,B382="order",D382/1000)</f>
        <v>3256</v>
      </c>
      <c r="G382" s="44" cm="1">
        <f t="array" ref="G382">_xlfn.IFS(B382="tt",E382/100*7*3900/1000,B382="order",E382/1000)</f>
        <v>814</v>
      </c>
      <c r="H382" t="str">
        <f t="shared" si="5"/>
        <v>202603</v>
      </c>
    </row>
    <row r="383" spans="1:8">
      <c r="A383" s="43">
        <v>46093</v>
      </c>
      <c r="B383" t="s">
        <v>19</v>
      </c>
      <c r="C383" t="s">
        <v>10</v>
      </c>
      <c r="D383">
        <v>2012000</v>
      </c>
      <c r="E383">
        <v>503000</v>
      </c>
      <c r="F383" cm="1">
        <f t="array" ref="F383">_xlfn.IFS(B383="tt",D383/100*7*3900/1000,B383="order",D383/1000)</f>
        <v>2012</v>
      </c>
      <c r="G383" s="44" cm="1">
        <f t="array" ref="G383">_xlfn.IFS(B383="tt",E383/100*7*3900/1000,B383="order",E383/1000)</f>
        <v>503</v>
      </c>
      <c r="H383" t="str">
        <f t="shared" si="5"/>
        <v>202603</v>
      </c>
    </row>
    <row r="384" spans="1:8">
      <c r="A384" s="43">
        <v>46094</v>
      </c>
      <c r="B384" t="s">
        <v>19</v>
      </c>
      <c r="C384" t="s">
        <v>10</v>
      </c>
      <c r="D384">
        <v>12357000</v>
      </c>
      <c r="E384">
        <v>3089250</v>
      </c>
      <c r="F384" cm="1">
        <f t="array" ref="F384">_xlfn.IFS(B384="tt",D384/100*7*3900/1000,B384="order",D384/1000)</f>
        <v>12357</v>
      </c>
      <c r="G384" s="44" cm="1">
        <f t="array" ref="G384">_xlfn.IFS(B384="tt",E384/100*7*3900/1000,B384="order",E384/1000)</f>
        <v>3089.25</v>
      </c>
      <c r="H384" t="str">
        <f t="shared" si="5"/>
        <v>202603</v>
      </c>
    </row>
    <row r="385" spans="1:8">
      <c r="A385" s="43">
        <v>46095</v>
      </c>
      <c r="B385" t="s">
        <v>19</v>
      </c>
      <c r="C385" t="s">
        <v>10</v>
      </c>
      <c r="D385">
        <v>5572000</v>
      </c>
      <c r="E385">
        <v>1393000</v>
      </c>
      <c r="F385" cm="1">
        <f t="array" ref="F385">_xlfn.IFS(B385="tt",D385/100*7*3900/1000,B385="order",D385/1000)</f>
        <v>5572</v>
      </c>
      <c r="G385" s="44" cm="1">
        <f t="array" ref="G385">_xlfn.IFS(B385="tt",E385/100*7*3900/1000,B385="order",E385/1000)</f>
        <v>1393</v>
      </c>
      <c r="H385" t="str">
        <f t="shared" si="5"/>
        <v>202603</v>
      </c>
    </row>
    <row r="386" spans="1:8">
      <c r="A386" s="43">
        <v>46096</v>
      </c>
      <c r="B386" t="s">
        <v>19</v>
      </c>
      <c r="C386" t="s">
        <v>10</v>
      </c>
      <c r="D386">
        <v>2655000</v>
      </c>
      <c r="E386">
        <v>663750</v>
      </c>
      <c r="F386" cm="1">
        <f t="array" ref="F386">_xlfn.IFS(B386="tt",D386/100*7*3900/1000,B386="order",D386/1000)</f>
        <v>2655</v>
      </c>
      <c r="G386" s="44" cm="1">
        <f t="array" ref="G386">_xlfn.IFS(B386="tt",E386/100*7*3900/1000,B386="order",E386/1000)</f>
        <v>663.75</v>
      </c>
      <c r="H386" t="str">
        <f t="shared" si="5"/>
        <v>202603</v>
      </c>
    </row>
    <row r="387" spans="1:8">
      <c r="A387" s="43">
        <v>46097</v>
      </c>
      <c r="B387" t="s">
        <v>19</v>
      </c>
      <c r="C387" t="s">
        <v>10</v>
      </c>
      <c r="D387">
        <v>1315000</v>
      </c>
      <c r="E387">
        <v>328750</v>
      </c>
      <c r="F387" cm="1">
        <f t="array" ref="F387">_xlfn.IFS(B387="tt",D387/100*7*3900/1000,B387="order",D387/1000)</f>
        <v>1315</v>
      </c>
      <c r="G387" s="44" cm="1">
        <f t="array" ref="G387">_xlfn.IFS(B387="tt",E387/100*7*3900/1000,B387="order",E387/1000)</f>
        <v>328.75</v>
      </c>
      <c r="H387" t="str">
        <f t="shared" ref="H387:H450" si="6">YEAR(A387)&amp;RIGHT("0"&amp;MONTH(A387),2)</f>
        <v>202603</v>
      </c>
    </row>
    <row r="388" spans="1:8">
      <c r="A388" s="43">
        <v>46098</v>
      </c>
      <c r="B388" t="s">
        <v>19</v>
      </c>
      <c r="C388" t="s">
        <v>10</v>
      </c>
      <c r="D388">
        <v>3557000</v>
      </c>
      <c r="E388">
        <v>889250</v>
      </c>
      <c r="F388" cm="1">
        <f t="array" ref="F388">_xlfn.IFS(B388="tt",D388/100*7*3900/1000,B388="order",D388/1000)</f>
        <v>3557</v>
      </c>
      <c r="G388" s="44" cm="1">
        <f t="array" ref="G388">_xlfn.IFS(B388="tt",E388/100*7*3900/1000,B388="order",E388/1000)</f>
        <v>889.25</v>
      </c>
      <c r="H388" t="str">
        <f t="shared" si="6"/>
        <v>202603</v>
      </c>
    </row>
    <row r="389" spans="1:8">
      <c r="A389" s="43">
        <v>46099</v>
      </c>
      <c r="B389" t="s">
        <v>19</v>
      </c>
      <c r="C389" t="s">
        <v>10</v>
      </c>
      <c r="D389">
        <v>14059000</v>
      </c>
      <c r="E389">
        <v>3514750</v>
      </c>
      <c r="F389" cm="1">
        <f t="array" ref="F389">_xlfn.IFS(B389="tt",D389/100*7*3900/1000,B389="order",D389/1000)</f>
        <v>14059</v>
      </c>
      <c r="G389" s="44" cm="1">
        <f t="array" ref="G389">_xlfn.IFS(B389="tt",E389/100*7*3900/1000,B389="order",E389/1000)</f>
        <v>3514.75</v>
      </c>
      <c r="H389" t="str">
        <f t="shared" si="6"/>
        <v>202603</v>
      </c>
    </row>
    <row r="390" spans="1:8">
      <c r="A390" s="43">
        <v>46100</v>
      </c>
      <c r="B390" t="s">
        <v>19</v>
      </c>
      <c r="C390" t="s">
        <v>10</v>
      </c>
      <c r="D390">
        <v>2212000</v>
      </c>
      <c r="E390">
        <v>553000</v>
      </c>
      <c r="F390" cm="1">
        <f t="array" ref="F390">_xlfn.IFS(B390="tt",D390/100*7*3900/1000,B390="order",D390/1000)</f>
        <v>2212</v>
      </c>
      <c r="G390" s="44" cm="1">
        <f t="array" ref="G390">_xlfn.IFS(B390="tt",E390/100*7*3900/1000,B390="order",E390/1000)</f>
        <v>553</v>
      </c>
      <c r="H390" t="str">
        <f t="shared" si="6"/>
        <v>202603</v>
      </c>
    </row>
    <row r="391" spans="1:8">
      <c r="A391" s="43">
        <v>46101</v>
      </c>
      <c r="B391" t="s">
        <v>19</v>
      </c>
      <c r="C391" t="s">
        <v>10</v>
      </c>
      <c r="D391">
        <v>3145000</v>
      </c>
      <c r="E391">
        <v>786250</v>
      </c>
      <c r="F391" cm="1">
        <f t="array" ref="F391">_xlfn.IFS(B391="tt",D391/100*7*3900/1000,B391="order",D391/1000)</f>
        <v>3145</v>
      </c>
      <c r="G391" s="44" cm="1">
        <f t="array" ref="G391">_xlfn.IFS(B391="tt",E391/100*7*3900/1000,B391="order",E391/1000)</f>
        <v>786.25</v>
      </c>
      <c r="H391" t="str">
        <f t="shared" si="6"/>
        <v>202603</v>
      </c>
    </row>
    <row r="392" spans="1:8">
      <c r="A392" s="43">
        <v>46102</v>
      </c>
      <c r="B392" t="s">
        <v>19</v>
      </c>
      <c r="C392" t="s">
        <v>10</v>
      </c>
      <c r="D392">
        <v>3373000</v>
      </c>
      <c r="E392">
        <v>843250</v>
      </c>
      <c r="F392" cm="1">
        <f t="array" ref="F392">_xlfn.IFS(B392="tt",D392/100*7*3900/1000,B392="order",D392/1000)</f>
        <v>3373</v>
      </c>
      <c r="G392" s="44" cm="1">
        <f t="array" ref="G392">_xlfn.IFS(B392="tt",E392/100*7*3900/1000,B392="order",E392/1000)</f>
        <v>843.25</v>
      </c>
      <c r="H392" t="str">
        <f t="shared" si="6"/>
        <v>202603</v>
      </c>
    </row>
    <row r="393" spans="1:8">
      <c r="A393" s="43">
        <v>46103</v>
      </c>
      <c r="B393" t="s">
        <v>19</v>
      </c>
      <c r="C393" t="s">
        <v>10</v>
      </c>
      <c r="D393">
        <v>2160000</v>
      </c>
      <c r="E393">
        <v>540000</v>
      </c>
      <c r="F393" cm="1">
        <f t="array" ref="F393">_xlfn.IFS(B393="tt",D393/100*7*3900/1000,B393="order",D393/1000)</f>
        <v>2160</v>
      </c>
      <c r="G393" s="44" cm="1">
        <f t="array" ref="G393">_xlfn.IFS(B393="tt",E393/100*7*3900/1000,B393="order",E393/1000)</f>
        <v>540</v>
      </c>
      <c r="H393" t="str">
        <f t="shared" si="6"/>
        <v>202603</v>
      </c>
    </row>
    <row r="394" spans="1:8">
      <c r="A394" s="43">
        <v>46104</v>
      </c>
      <c r="B394" t="s">
        <v>19</v>
      </c>
      <c r="C394" t="s">
        <v>10</v>
      </c>
      <c r="D394">
        <v>474000</v>
      </c>
      <c r="E394">
        <v>118500</v>
      </c>
      <c r="F394" cm="1">
        <f t="array" ref="F394">_xlfn.IFS(B394="tt",D394/100*7*3900/1000,B394="order",D394/1000)</f>
        <v>474</v>
      </c>
      <c r="G394" s="44" cm="1">
        <f t="array" ref="G394">_xlfn.IFS(B394="tt",E394/100*7*3900/1000,B394="order",E394/1000)</f>
        <v>118.5</v>
      </c>
      <c r="H394" t="str">
        <f t="shared" si="6"/>
        <v>202603</v>
      </c>
    </row>
    <row r="395" spans="1:8">
      <c r="A395" s="43">
        <v>46105</v>
      </c>
      <c r="B395" t="s">
        <v>19</v>
      </c>
      <c r="C395" t="s">
        <v>10</v>
      </c>
      <c r="D395">
        <v>690000</v>
      </c>
      <c r="E395">
        <v>172500</v>
      </c>
      <c r="F395" cm="1">
        <f t="array" ref="F395">_xlfn.IFS(B395="tt",D395/100*7*3900/1000,B395="order",D395/1000)</f>
        <v>690</v>
      </c>
      <c r="G395" s="44" cm="1">
        <f t="array" ref="G395">_xlfn.IFS(B395="tt",E395/100*7*3900/1000,B395="order",E395/1000)</f>
        <v>172.5</v>
      </c>
      <c r="H395" t="str">
        <f t="shared" si="6"/>
        <v>202603</v>
      </c>
    </row>
    <row r="396" spans="1:8">
      <c r="A396" s="43">
        <v>46106</v>
      </c>
      <c r="B396" t="s">
        <v>19</v>
      </c>
      <c r="C396" t="s">
        <v>10</v>
      </c>
      <c r="D396">
        <v>3929000</v>
      </c>
      <c r="E396">
        <v>982250</v>
      </c>
      <c r="F396" cm="1">
        <f t="array" ref="F396">_xlfn.IFS(B396="tt",D396/100*7*3900/1000,B396="order",D396/1000)</f>
        <v>3929</v>
      </c>
      <c r="G396" s="44" cm="1">
        <f t="array" ref="G396">_xlfn.IFS(B396="tt",E396/100*7*3900/1000,B396="order",E396/1000)</f>
        <v>982.25</v>
      </c>
      <c r="H396" t="str">
        <f t="shared" si="6"/>
        <v>202603</v>
      </c>
    </row>
    <row r="397" spans="1:8">
      <c r="A397" s="43">
        <v>46107</v>
      </c>
      <c r="B397" t="s">
        <v>19</v>
      </c>
      <c r="C397" t="s">
        <v>10</v>
      </c>
      <c r="D397">
        <v>18705000</v>
      </c>
      <c r="E397">
        <v>4676250</v>
      </c>
      <c r="F397" cm="1">
        <f t="array" ref="F397">_xlfn.IFS(B397="tt",D397/100*7*3900/1000,B397="order",D397/1000)</f>
        <v>18705</v>
      </c>
      <c r="G397" s="44" cm="1">
        <f t="array" ref="G397">_xlfn.IFS(B397="tt",E397/100*7*3900/1000,B397="order",E397/1000)</f>
        <v>4676.25</v>
      </c>
      <c r="H397" t="str">
        <f t="shared" si="6"/>
        <v>202603</v>
      </c>
    </row>
    <row r="398" spans="1:8">
      <c r="A398" s="43">
        <v>46108</v>
      </c>
      <c r="B398" t="s">
        <v>19</v>
      </c>
      <c r="C398" t="s">
        <v>10</v>
      </c>
      <c r="D398">
        <v>10451000</v>
      </c>
      <c r="E398">
        <v>2612750</v>
      </c>
      <c r="F398" cm="1">
        <f t="array" ref="F398">_xlfn.IFS(B398="tt",D398/100*7*3900/1000,B398="order",D398/1000)</f>
        <v>10451</v>
      </c>
      <c r="G398" s="44" cm="1">
        <f t="array" ref="G398">_xlfn.IFS(B398="tt",E398/100*7*3900/1000,B398="order",E398/1000)</f>
        <v>2612.75</v>
      </c>
      <c r="H398" t="str">
        <f t="shared" si="6"/>
        <v>202603</v>
      </c>
    </row>
    <row r="399" spans="1:8">
      <c r="A399" s="43">
        <v>46109</v>
      </c>
      <c r="B399" t="s">
        <v>19</v>
      </c>
      <c r="C399" t="s">
        <v>10</v>
      </c>
      <c r="D399">
        <v>2896000</v>
      </c>
      <c r="E399">
        <v>724000</v>
      </c>
      <c r="F399" cm="1">
        <f t="array" ref="F399">_xlfn.IFS(B399="tt",D399/100*7*3900/1000,B399="order",D399/1000)</f>
        <v>2896</v>
      </c>
      <c r="G399" s="44" cm="1">
        <f t="array" ref="G399">_xlfn.IFS(B399="tt",E399/100*7*3900/1000,B399="order",E399/1000)</f>
        <v>724</v>
      </c>
      <c r="H399" t="str">
        <f t="shared" si="6"/>
        <v>202603</v>
      </c>
    </row>
    <row r="400" spans="1:8">
      <c r="A400" s="43">
        <v>46110</v>
      </c>
      <c r="B400" t="s">
        <v>19</v>
      </c>
      <c r="C400" t="s">
        <v>10</v>
      </c>
      <c r="D400">
        <v>2580000</v>
      </c>
      <c r="E400">
        <v>645000</v>
      </c>
      <c r="F400" cm="1">
        <f t="array" ref="F400">_xlfn.IFS(B400="tt",D400/100*7*3900/1000,B400="order",D400/1000)</f>
        <v>2580</v>
      </c>
      <c r="G400" s="44" cm="1">
        <f t="array" ref="G400">_xlfn.IFS(B400="tt",E400/100*7*3900/1000,B400="order",E400/1000)</f>
        <v>645</v>
      </c>
      <c r="H400" t="str">
        <f t="shared" si="6"/>
        <v>202603</v>
      </c>
    </row>
    <row r="401" spans="1:8">
      <c r="A401" s="43">
        <v>46111</v>
      </c>
      <c r="B401" t="s">
        <v>19</v>
      </c>
      <c r="C401" t="s">
        <v>10</v>
      </c>
      <c r="D401">
        <v>382000</v>
      </c>
      <c r="E401">
        <v>95500</v>
      </c>
      <c r="F401" cm="1">
        <f t="array" ref="F401">_xlfn.IFS(B401="tt",D401/100*7*3900/1000,B401="order",D401/1000)</f>
        <v>382</v>
      </c>
      <c r="G401" s="44" cm="1">
        <f t="array" ref="G401">_xlfn.IFS(B401="tt",E401/100*7*3900/1000,B401="order",E401/1000)</f>
        <v>95.5</v>
      </c>
      <c r="H401" t="str">
        <f t="shared" si="6"/>
        <v>202603</v>
      </c>
    </row>
    <row r="402" spans="1:8">
      <c r="A402" s="43">
        <v>46112</v>
      </c>
      <c r="B402" t="s">
        <v>19</v>
      </c>
      <c r="C402" t="s">
        <v>10</v>
      </c>
      <c r="D402">
        <v>14632000</v>
      </c>
      <c r="E402">
        <v>3658000</v>
      </c>
      <c r="F402" cm="1">
        <f t="array" ref="F402">_xlfn.IFS(B402="tt",D402/100*7*3900/1000,B402="order",D402/1000)</f>
        <v>14632</v>
      </c>
      <c r="G402" s="44" cm="1">
        <f t="array" ref="G402">_xlfn.IFS(B402="tt",E402/100*7*3900/1000,B402="order",E402/1000)</f>
        <v>3658</v>
      </c>
      <c r="H402" t="str">
        <f t="shared" si="6"/>
        <v>202603</v>
      </c>
    </row>
    <row r="403" spans="1:8">
      <c r="A403" s="43">
        <v>46113</v>
      </c>
      <c r="B403" t="s">
        <v>19</v>
      </c>
      <c r="C403" t="s">
        <v>10</v>
      </c>
      <c r="D403">
        <v>2917000</v>
      </c>
      <c r="E403">
        <v>729250</v>
      </c>
      <c r="F403" cm="1">
        <f t="array" ref="F403">_xlfn.IFS(B403="tt",D403/100*7*3900/1000,B403="order",D403/1000)</f>
        <v>2917</v>
      </c>
      <c r="G403" s="44" cm="1">
        <f t="array" ref="G403">_xlfn.IFS(B403="tt",E403/100*7*3900/1000,B403="order",E403/1000)</f>
        <v>729.25</v>
      </c>
      <c r="H403" t="str">
        <f t="shared" si="6"/>
        <v>202604</v>
      </c>
    </row>
    <row r="404" spans="1:8">
      <c r="A404" s="43">
        <v>46114</v>
      </c>
      <c r="B404" t="s">
        <v>19</v>
      </c>
      <c r="C404" t="s">
        <v>10</v>
      </c>
      <c r="D404">
        <v>5355000</v>
      </c>
      <c r="E404">
        <v>1338750</v>
      </c>
      <c r="F404" cm="1">
        <f t="array" ref="F404">_xlfn.IFS(B404="tt",D404/100*7*3900/1000,B404="order",D404/1000)</f>
        <v>5355</v>
      </c>
      <c r="G404" s="44" cm="1">
        <f t="array" ref="G404">_xlfn.IFS(B404="tt",E404/100*7*3900/1000,B404="order",E404/1000)</f>
        <v>1338.75</v>
      </c>
      <c r="H404" t="str">
        <f t="shared" si="6"/>
        <v>202604</v>
      </c>
    </row>
    <row r="405" spans="1:8">
      <c r="A405" s="43">
        <v>46115</v>
      </c>
      <c r="B405" t="s">
        <v>19</v>
      </c>
      <c r="C405" t="s">
        <v>10</v>
      </c>
      <c r="D405">
        <v>2512000</v>
      </c>
      <c r="E405">
        <v>628000</v>
      </c>
      <c r="F405" cm="1">
        <f t="array" ref="F405">_xlfn.IFS(B405="tt",D405/100*7*3900/1000,B405="order",D405/1000)</f>
        <v>2512</v>
      </c>
      <c r="G405" s="44" cm="1">
        <f t="array" ref="G405">_xlfn.IFS(B405="tt",E405/100*7*3900/1000,B405="order",E405/1000)</f>
        <v>628</v>
      </c>
      <c r="H405" t="str">
        <f t="shared" si="6"/>
        <v>202604</v>
      </c>
    </row>
    <row r="406" spans="1:8">
      <c r="A406" s="43">
        <v>46116</v>
      </c>
      <c r="B406" t="s">
        <v>19</v>
      </c>
      <c r="C406" t="s">
        <v>10</v>
      </c>
      <c r="D406">
        <v>1707000</v>
      </c>
      <c r="E406">
        <v>426750</v>
      </c>
      <c r="F406" cm="1">
        <f t="array" ref="F406">_xlfn.IFS(B406="tt",D406/100*7*3900/1000,B406="order",D406/1000)</f>
        <v>1707</v>
      </c>
      <c r="G406" s="44" cm="1">
        <f t="array" ref="G406">_xlfn.IFS(B406="tt",E406/100*7*3900/1000,B406="order",E406/1000)</f>
        <v>426.75</v>
      </c>
      <c r="H406" t="str">
        <f t="shared" si="6"/>
        <v>202604</v>
      </c>
    </row>
    <row r="407" spans="1:8">
      <c r="A407" s="43">
        <v>46117</v>
      </c>
      <c r="B407" t="s">
        <v>19</v>
      </c>
      <c r="C407" t="s">
        <v>10</v>
      </c>
      <c r="D407">
        <v>13168000</v>
      </c>
      <c r="E407">
        <v>3292000</v>
      </c>
      <c r="F407" cm="1">
        <f t="array" ref="F407">_xlfn.IFS(B407="tt",D407/100*7*3900/1000,B407="order",D407/1000)</f>
        <v>13168</v>
      </c>
      <c r="G407" s="44" cm="1">
        <f t="array" ref="G407">_xlfn.IFS(B407="tt",E407/100*7*3900/1000,B407="order",E407/1000)</f>
        <v>3292</v>
      </c>
      <c r="H407" t="str">
        <f t="shared" si="6"/>
        <v>202604</v>
      </c>
    </row>
    <row r="408" spans="1:8">
      <c r="A408" s="43">
        <v>46118</v>
      </c>
      <c r="B408" t="s">
        <v>19</v>
      </c>
      <c r="C408" t="s">
        <v>10</v>
      </c>
      <c r="D408">
        <v>1309000</v>
      </c>
      <c r="E408">
        <v>327250</v>
      </c>
      <c r="F408" cm="1">
        <f t="array" ref="F408">_xlfn.IFS(B408="tt",D408/100*7*3900/1000,B408="order",D408/1000)</f>
        <v>1309</v>
      </c>
      <c r="G408" s="44" cm="1">
        <f t="array" ref="G408">_xlfn.IFS(B408="tt",E408/100*7*3900/1000,B408="order",E408/1000)</f>
        <v>327.25</v>
      </c>
      <c r="H408" t="str">
        <f t="shared" si="6"/>
        <v>202604</v>
      </c>
    </row>
    <row r="409" spans="1:8">
      <c r="A409" s="43">
        <v>46119</v>
      </c>
      <c r="B409" t="s">
        <v>19</v>
      </c>
      <c r="C409" t="s">
        <v>10</v>
      </c>
      <c r="D409">
        <v>69000</v>
      </c>
      <c r="E409">
        <v>17250</v>
      </c>
      <c r="F409" cm="1">
        <f t="array" ref="F409">_xlfn.IFS(B409="tt",D409/100*7*3900/1000,B409="order",D409/1000)</f>
        <v>69</v>
      </c>
      <c r="G409" s="44" cm="1">
        <f t="array" ref="G409">_xlfn.IFS(B409="tt",E409/100*7*3900/1000,B409="order",E409/1000)</f>
        <v>17.25</v>
      </c>
      <c r="H409" t="str">
        <f t="shared" si="6"/>
        <v>202604</v>
      </c>
    </row>
    <row r="410" spans="1:8">
      <c r="A410" s="43">
        <v>46120</v>
      </c>
      <c r="B410" t="s">
        <v>19</v>
      </c>
      <c r="C410" t="s">
        <v>10</v>
      </c>
      <c r="D410">
        <v>1872000</v>
      </c>
      <c r="E410">
        <v>468000</v>
      </c>
      <c r="F410" cm="1">
        <f t="array" ref="F410">_xlfn.IFS(B410="tt",D410/100*7*3900/1000,B410="order",D410/1000)</f>
        <v>1872</v>
      </c>
      <c r="G410" s="44" cm="1">
        <f t="array" ref="G410">_xlfn.IFS(B410="tt",E410/100*7*3900/1000,B410="order",E410/1000)</f>
        <v>468</v>
      </c>
      <c r="H410" t="str">
        <f t="shared" si="6"/>
        <v>202604</v>
      </c>
    </row>
    <row r="411" spans="1:8">
      <c r="A411" s="43">
        <v>46121</v>
      </c>
      <c r="B411" t="s">
        <v>19</v>
      </c>
      <c r="C411" t="s">
        <v>10</v>
      </c>
      <c r="D411">
        <v>10722000</v>
      </c>
      <c r="E411">
        <v>2680500</v>
      </c>
      <c r="F411" cm="1">
        <f t="array" ref="F411">_xlfn.IFS(B411="tt",D411/100*7*3900/1000,B411="order",D411/1000)</f>
        <v>10722</v>
      </c>
      <c r="G411" s="44" cm="1">
        <f t="array" ref="G411">_xlfn.IFS(B411="tt",E411/100*7*3900/1000,B411="order",E411/1000)</f>
        <v>2680.5</v>
      </c>
      <c r="H411" t="str">
        <f t="shared" si="6"/>
        <v>202604</v>
      </c>
    </row>
    <row r="412" spans="1:8">
      <c r="A412" s="43">
        <v>46044</v>
      </c>
      <c r="B412" t="s">
        <v>19</v>
      </c>
      <c r="C412" t="s">
        <v>11</v>
      </c>
      <c r="D412">
        <v>50000</v>
      </c>
      <c r="E412">
        <v>5000</v>
      </c>
      <c r="F412" cm="1">
        <f t="array" ref="F412">_xlfn.IFS(B412="tt",D412/100*7*3900/1000,B412="order",D412/1000)</f>
        <v>50</v>
      </c>
      <c r="G412" s="44" cm="1">
        <f t="array" ref="G412">_xlfn.IFS(B412="tt",E412/100*7*3900/1000,B412="order",E412/1000)</f>
        <v>5</v>
      </c>
      <c r="H412" t="str">
        <f t="shared" si="6"/>
        <v>202601</v>
      </c>
    </row>
    <row r="413" spans="1:8">
      <c r="A413" s="43">
        <v>46045</v>
      </c>
      <c r="B413" t="s">
        <v>19</v>
      </c>
      <c r="C413" t="s">
        <v>11</v>
      </c>
      <c r="D413">
        <v>626000</v>
      </c>
      <c r="E413">
        <v>62600</v>
      </c>
      <c r="F413" cm="1">
        <f t="array" ref="F413">_xlfn.IFS(B413="tt",D413/100*7*3900/1000,B413="order",D413/1000)</f>
        <v>626</v>
      </c>
      <c r="G413" s="44" cm="1">
        <f t="array" ref="G413">_xlfn.IFS(B413="tt",E413/100*7*3900/1000,B413="order",E413/1000)</f>
        <v>62.6</v>
      </c>
      <c r="H413" t="str">
        <f t="shared" si="6"/>
        <v>202601</v>
      </c>
    </row>
    <row r="414" spans="1:8">
      <c r="A414" s="43">
        <v>46046</v>
      </c>
      <c r="B414" t="s">
        <v>19</v>
      </c>
      <c r="C414" t="s">
        <v>11</v>
      </c>
      <c r="D414">
        <v>44000</v>
      </c>
      <c r="E414">
        <v>4400</v>
      </c>
      <c r="F414" cm="1">
        <f t="array" ref="F414">_xlfn.IFS(B414="tt",D414/100*7*3900/1000,B414="order",D414/1000)</f>
        <v>44</v>
      </c>
      <c r="G414" s="44" cm="1">
        <f t="array" ref="G414">_xlfn.IFS(B414="tt",E414/100*7*3900/1000,B414="order",E414/1000)</f>
        <v>4.4</v>
      </c>
      <c r="H414" t="str">
        <f t="shared" si="6"/>
        <v>202601</v>
      </c>
    </row>
    <row r="415" spans="1:8">
      <c r="A415" s="43">
        <v>46047</v>
      </c>
      <c r="B415" t="s">
        <v>19</v>
      </c>
      <c r="C415" t="s">
        <v>11</v>
      </c>
      <c r="D415">
        <v>138000</v>
      </c>
      <c r="E415">
        <v>13800</v>
      </c>
      <c r="F415" cm="1">
        <f t="array" ref="F415">_xlfn.IFS(B415="tt",D415/100*7*3900/1000,B415="order",D415/1000)</f>
        <v>138</v>
      </c>
      <c r="G415" s="44" cm="1">
        <f t="array" ref="G415">_xlfn.IFS(B415="tt",E415/100*7*3900/1000,B415="order",E415/1000)</f>
        <v>13.8</v>
      </c>
      <c r="H415" t="str">
        <f t="shared" si="6"/>
        <v>202601</v>
      </c>
    </row>
    <row r="416" spans="1:8">
      <c r="A416" s="43">
        <v>46048</v>
      </c>
      <c r="B416" t="s">
        <v>19</v>
      </c>
      <c r="C416" t="s">
        <v>11</v>
      </c>
      <c r="D416">
        <v>109000</v>
      </c>
      <c r="E416">
        <v>10900</v>
      </c>
      <c r="F416" cm="1">
        <f t="array" ref="F416">_xlfn.IFS(B416="tt",D416/100*7*3900/1000,B416="order",D416/1000)</f>
        <v>109</v>
      </c>
      <c r="G416" s="44" cm="1">
        <f t="array" ref="G416">_xlfn.IFS(B416="tt",E416/100*7*3900/1000,B416="order",E416/1000)</f>
        <v>10.9</v>
      </c>
      <c r="H416" t="str">
        <f t="shared" si="6"/>
        <v>202601</v>
      </c>
    </row>
    <row r="417" spans="1:8">
      <c r="A417" s="43">
        <v>46049</v>
      </c>
      <c r="B417" t="s">
        <v>19</v>
      </c>
      <c r="C417" t="s">
        <v>11</v>
      </c>
      <c r="D417">
        <v>131000</v>
      </c>
      <c r="E417">
        <v>13100</v>
      </c>
      <c r="F417" cm="1">
        <f t="array" ref="F417">_xlfn.IFS(B417="tt",D417/100*7*3900/1000,B417="order",D417/1000)</f>
        <v>131</v>
      </c>
      <c r="G417" s="44" cm="1">
        <f t="array" ref="G417">_xlfn.IFS(B417="tt",E417/100*7*3900/1000,B417="order",E417/1000)</f>
        <v>13.1</v>
      </c>
      <c r="H417" t="str">
        <f t="shared" si="6"/>
        <v>202601</v>
      </c>
    </row>
    <row r="418" spans="1:8">
      <c r="A418" s="43">
        <v>46050</v>
      </c>
      <c r="B418" t="s">
        <v>19</v>
      </c>
      <c r="C418" t="s">
        <v>11</v>
      </c>
      <c r="D418">
        <v>289000</v>
      </c>
      <c r="E418">
        <v>28900</v>
      </c>
      <c r="F418" cm="1">
        <f t="array" ref="F418">_xlfn.IFS(B418="tt",D418/100*7*3900/1000,B418="order",D418/1000)</f>
        <v>289</v>
      </c>
      <c r="G418" s="44" cm="1">
        <f t="array" ref="G418">_xlfn.IFS(B418="tt",E418/100*7*3900/1000,B418="order",E418/1000)</f>
        <v>28.9</v>
      </c>
      <c r="H418" t="str">
        <f t="shared" si="6"/>
        <v>202601</v>
      </c>
    </row>
    <row r="419" spans="1:8">
      <c r="A419" s="43">
        <v>46051</v>
      </c>
      <c r="B419" t="s">
        <v>19</v>
      </c>
      <c r="C419" t="s">
        <v>11</v>
      </c>
      <c r="D419">
        <v>2570000</v>
      </c>
      <c r="E419">
        <v>257000</v>
      </c>
      <c r="F419" cm="1">
        <f t="array" ref="F419">_xlfn.IFS(B419="tt",D419/100*7*3900/1000,B419="order",D419/1000)</f>
        <v>2570</v>
      </c>
      <c r="G419" s="44" cm="1">
        <f t="array" ref="G419">_xlfn.IFS(B419="tt",E419/100*7*3900/1000,B419="order",E419/1000)</f>
        <v>257</v>
      </c>
      <c r="H419" t="str">
        <f t="shared" si="6"/>
        <v>202601</v>
      </c>
    </row>
    <row r="420" spans="1:8">
      <c r="A420" s="43">
        <v>46052</v>
      </c>
      <c r="B420" t="s">
        <v>19</v>
      </c>
      <c r="C420" t="s">
        <v>11</v>
      </c>
      <c r="D420">
        <v>9271000</v>
      </c>
      <c r="E420">
        <v>927100</v>
      </c>
      <c r="F420" cm="1">
        <f t="array" ref="F420">_xlfn.IFS(B420="tt",D420/100*7*3900/1000,B420="order",D420/1000)</f>
        <v>9271</v>
      </c>
      <c r="G420" s="44" cm="1">
        <f t="array" ref="G420">_xlfn.IFS(B420="tt",E420/100*7*3900/1000,B420="order",E420/1000)</f>
        <v>927.1</v>
      </c>
      <c r="H420" t="str">
        <f t="shared" si="6"/>
        <v>202601</v>
      </c>
    </row>
    <row r="421" spans="1:8">
      <c r="A421" s="43">
        <v>46053</v>
      </c>
      <c r="B421" t="s">
        <v>19</v>
      </c>
      <c r="C421" t="s">
        <v>11</v>
      </c>
      <c r="D421">
        <v>7937000</v>
      </c>
      <c r="E421">
        <v>793700</v>
      </c>
      <c r="F421" cm="1">
        <f t="array" ref="F421">_xlfn.IFS(B421="tt",D421/100*7*3900/1000,B421="order",D421/1000)</f>
        <v>7937</v>
      </c>
      <c r="G421" s="44" cm="1">
        <f t="array" ref="G421">_xlfn.IFS(B421="tt",E421/100*7*3900/1000,B421="order",E421/1000)</f>
        <v>793.7</v>
      </c>
      <c r="H421" t="str">
        <f t="shared" si="6"/>
        <v>202601</v>
      </c>
    </row>
    <row r="422" spans="1:8">
      <c r="A422" s="43">
        <v>46054</v>
      </c>
      <c r="B422" t="s">
        <v>19</v>
      </c>
      <c r="C422" t="s">
        <v>11</v>
      </c>
      <c r="D422">
        <v>8270000</v>
      </c>
      <c r="E422">
        <v>827000</v>
      </c>
      <c r="F422" cm="1">
        <f t="array" ref="F422">_xlfn.IFS(B422="tt",D422/100*7*3900/1000,B422="order",D422/1000)</f>
        <v>8270</v>
      </c>
      <c r="G422" s="44" cm="1">
        <f t="array" ref="G422">_xlfn.IFS(B422="tt",E422/100*7*3900/1000,B422="order",E422/1000)</f>
        <v>827</v>
      </c>
      <c r="H422" t="str">
        <f t="shared" si="6"/>
        <v>202602</v>
      </c>
    </row>
    <row r="423" spans="1:8">
      <c r="A423" s="43">
        <v>46055</v>
      </c>
      <c r="B423" t="s">
        <v>19</v>
      </c>
      <c r="C423" t="s">
        <v>11</v>
      </c>
      <c r="D423">
        <v>5929000</v>
      </c>
      <c r="E423">
        <v>592900</v>
      </c>
      <c r="F423" cm="1">
        <f t="array" ref="F423">_xlfn.IFS(B423="tt",D423/100*7*3900/1000,B423="order",D423/1000)</f>
        <v>5929</v>
      </c>
      <c r="G423" s="44" cm="1">
        <f t="array" ref="G423">_xlfn.IFS(B423="tt",E423/100*7*3900/1000,B423="order",E423/1000)</f>
        <v>592.9</v>
      </c>
      <c r="H423" t="str">
        <f t="shared" si="6"/>
        <v>202602</v>
      </c>
    </row>
    <row r="424" spans="1:8">
      <c r="A424" s="43">
        <v>46056</v>
      </c>
      <c r="B424" t="s">
        <v>19</v>
      </c>
      <c r="C424" t="s">
        <v>11</v>
      </c>
      <c r="D424">
        <v>2047000</v>
      </c>
      <c r="E424">
        <v>204700</v>
      </c>
      <c r="F424" cm="1">
        <f t="array" ref="F424">_xlfn.IFS(B424="tt",D424/100*7*3900/1000,B424="order",D424/1000)</f>
        <v>2047</v>
      </c>
      <c r="G424" s="44" cm="1">
        <f t="array" ref="G424">_xlfn.IFS(B424="tt",E424/100*7*3900/1000,B424="order",E424/1000)</f>
        <v>204.7</v>
      </c>
      <c r="H424" t="str">
        <f t="shared" si="6"/>
        <v>202602</v>
      </c>
    </row>
    <row r="425" spans="1:8">
      <c r="A425" s="43">
        <v>46057</v>
      </c>
      <c r="B425" t="s">
        <v>19</v>
      </c>
      <c r="C425" t="s">
        <v>11</v>
      </c>
      <c r="D425">
        <v>7479000</v>
      </c>
      <c r="E425">
        <v>747900</v>
      </c>
      <c r="F425" cm="1">
        <f t="array" ref="F425">_xlfn.IFS(B425="tt",D425/100*7*3900/1000,B425="order",D425/1000)</f>
        <v>7479</v>
      </c>
      <c r="G425" s="44" cm="1">
        <f t="array" ref="G425">_xlfn.IFS(B425="tt",E425/100*7*3900/1000,B425="order",E425/1000)</f>
        <v>747.9</v>
      </c>
      <c r="H425" t="str">
        <f t="shared" si="6"/>
        <v>202602</v>
      </c>
    </row>
    <row r="426" spans="1:8">
      <c r="A426" s="43">
        <v>46058</v>
      </c>
      <c r="B426" t="s">
        <v>19</v>
      </c>
      <c r="C426" t="s">
        <v>11</v>
      </c>
      <c r="D426">
        <v>9583000</v>
      </c>
      <c r="E426">
        <v>958300</v>
      </c>
      <c r="F426" cm="1">
        <f t="array" ref="F426">_xlfn.IFS(B426="tt",D426/100*7*3900/1000,B426="order",D426/1000)</f>
        <v>9583</v>
      </c>
      <c r="G426" s="44" cm="1">
        <f t="array" ref="G426">_xlfn.IFS(B426="tt",E426/100*7*3900/1000,B426="order",E426/1000)</f>
        <v>958.3</v>
      </c>
      <c r="H426" t="str">
        <f t="shared" si="6"/>
        <v>202602</v>
      </c>
    </row>
    <row r="427" spans="1:8">
      <c r="A427" s="43">
        <v>46059</v>
      </c>
      <c r="B427" t="s">
        <v>19</v>
      </c>
      <c r="C427" t="s">
        <v>11</v>
      </c>
      <c r="D427">
        <v>4111000</v>
      </c>
      <c r="E427">
        <v>411100</v>
      </c>
      <c r="F427" cm="1">
        <f t="array" ref="F427">_xlfn.IFS(B427="tt",D427/100*7*3900/1000,B427="order",D427/1000)</f>
        <v>4111</v>
      </c>
      <c r="G427" s="44" cm="1">
        <f t="array" ref="G427">_xlfn.IFS(B427="tt",E427/100*7*3900/1000,B427="order",E427/1000)</f>
        <v>411.1</v>
      </c>
      <c r="H427" t="str">
        <f t="shared" si="6"/>
        <v>202602</v>
      </c>
    </row>
    <row r="428" spans="1:8">
      <c r="A428" s="43">
        <v>46060</v>
      </c>
      <c r="B428" t="s">
        <v>19</v>
      </c>
      <c r="C428" t="s">
        <v>11</v>
      </c>
      <c r="D428">
        <v>6834000</v>
      </c>
      <c r="E428">
        <v>683400</v>
      </c>
      <c r="F428" cm="1">
        <f t="array" ref="F428">_xlfn.IFS(B428="tt",D428/100*7*3900/1000,B428="order",D428/1000)</f>
        <v>6834</v>
      </c>
      <c r="G428" s="44" cm="1">
        <f t="array" ref="G428">_xlfn.IFS(B428="tt",E428/100*7*3900/1000,B428="order",E428/1000)</f>
        <v>683.4</v>
      </c>
      <c r="H428" t="str">
        <f t="shared" si="6"/>
        <v>202602</v>
      </c>
    </row>
    <row r="429" spans="1:8">
      <c r="A429" s="43">
        <v>46061</v>
      </c>
      <c r="B429" t="s">
        <v>19</v>
      </c>
      <c r="C429" t="s">
        <v>11</v>
      </c>
      <c r="D429">
        <v>4701000</v>
      </c>
      <c r="E429">
        <v>470100</v>
      </c>
      <c r="F429" cm="1">
        <f t="array" ref="F429">_xlfn.IFS(B429="tt",D429/100*7*3900/1000,B429="order",D429/1000)</f>
        <v>4701</v>
      </c>
      <c r="G429" s="44" cm="1">
        <f t="array" ref="G429">_xlfn.IFS(B429="tt",E429/100*7*3900/1000,B429="order",E429/1000)</f>
        <v>470.1</v>
      </c>
      <c r="H429" t="str">
        <f t="shared" si="6"/>
        <v>202602</v>
      </c>
    </row>
    <row r="430" spans="1:8">
      <c r="A430" s="43">
        <v>46062</v>
      </c>
      <c r="B430" t="s">
        <v>19</v>
      </c>
      <c r="C430" t="s">
        <v>11</v>
      </c>
      <c r="D430">
        <v>5134000</v>
      </c>
      <c r="E430">
        <v>513400</v>
      </c>
      <c r="F430" cm="1">
        <f t="array" ref="F430">_xlfn.IFS(B430="tt",D430/100*7*3900/1000,B430="order",D430/1000)</f>
        <v>5134</v>
      </c>
      <c r="G430" s="44" cm="1">
        <f t="array" ref="G430">_xlfn.IFS(B430="tt",E430/100*7*3900/1000,B430="order",E430/1000)</f>
        <v>513.4</v>
      </c>
      <c r="H430" t="str">
        <f t="shared" si="6"/>
        <v>202602</v>
      </c>
    </row>
    <row r="431" spans="1:8">
      <c r="A431" s="43">
        <v>46063</v>
      </c>
      <c r="B431" t="s">
        <v>19</v>
      </c>
      <c r="C431" t="s">
        <v>11</v>
      </c>
      <c r="D431">
        <v>4516000</v>
      </c>
      <c r="E431">
        <v>451600</v>
      </c>
      <c r="F431" cm="1">
        <f t="array" ref="F431">_xlfn.IFS(B431="tt",D431/100*7*3900/1000,B431="order",D431/1000)</f>
        <v>4516</v>
      </c>
      <c r="G431" s="44" cm="1">
        <f t="array" ref="G431">_xlfn.IFS(B431="tt",E431/100*7*3900/1000,B431="order",E431/1000)</f>
        <v>451.6</v>
      </c>
      <c r="H431" t="str">
        <f t="shared" si="6"/>
        <v>202602</v>
      </c>
    </row>
    <row r="432" spans="1:8">
      <c r="A432" s="43">
        <v>46064</v>
      </c>
      <c r="B432" t="s">
        <v>19</v>
      </c>
      <c r="C432" t="s">
        <v>11</v>
      </c>
      <c r="D432">
        <v>7212000</v>
      </c>
      <c r="E432">
        <v>721200</v>
      </c>
      <c r="F432" cm="1">
        <f t="array" ref="F432">_xlfn.IFS(B432="tt",D432/100*7*3900/1000,B432="order",D432/1000)</f>
        <v>7212</v>
      </c>
      <c r="G432" s="44" cm="1">
        <f t="array" ref="G432">_xlfn.IFS(B432="tt",E432/100*7*3900/1000,B432="order",E432/1000)</f>
        <v>721.2</v>
      </c>
      <c r="H432" t="str">
        <f t="shared" si="6"/>
        <v>202602</v>
      </c>
    </row>
    <row r="433" spans="1:8">
      <c r="A433" s="43">
        <v>46065</v>
      </c>
      <c r="B433" t="s">
        <v>19</v>
      </c>
      <c r="C433" t="s">
        <v>11</v>
      </c>
      <c r="D433">
        <v>6754000</v>
      </c>
      <c r="E433">
        <v>675400</v>
      </c>
      <c r="F433" cm="1">
        <f t="array" ref="F433">_xlfn.IFS(B433="tt",D433/100*7*3900/1000,B433="order",D433/1000)</f>
        <v>6754</v>
      </c>
      <c r="G433" s="44" cm="1">
        <f t="array" ref="G433">_xlfn.IFS(B433="tt",E433/100*7*3900/1000,B433="order",E433/1000)</f>
        <v>675.4</v>
      </c>
      <c r="H433" t="str">
        <f t="shared" si="6"/>
        <v>202602</v>
      </c>
    </row>
    <row r="434" spans="1:8">
      <c r="A434" s="43">
        <v>46066</v>
      </c>
      <c r="B434" t="s">
        <v>19</v>
      </c>
      <c r="C434" t="s">
        <v>11</v>
      </c>
      <c r="D434">
        <v>11783000</v>
      </c>
      <c r="E434">
        <v>1178300</v>
      </c>
      <c r="F434" cm="1">
        <f t="array" ref="F434">_xlfn.IFS(B434="tt",D434/100*7*3900/1000,B434="order",D434/1000)</f>
        <v>11783</v>
      </c>
      <c r="G434" s="44" cm="1">
        <f t="array" ref="G434">_xlfn.IFS(B434="tt",E434/100*7*3900/1000,B434="order",E434/1000)</f>
        <v>1178.3</v>
      </c>
      <c r="H434" t="str">
        <f t="shared" si="6"/>
        <v>202602</v>
      </c>
    </row>
    <row r="435" spans="1:8">
      <c r="A435" s="43">
        <v>46067</v>
      </c>
      <c r="B435" t="s">
        <v>19</v>
      </c>
      <c r="C435" t="s">
        <v>11</v>
      </c>
      <c r="D435">
        <v>8224000</v>
      </c>
      <c r="E435">
        <v>822400</v>
      </c>
      <c r="F435" cm="1">
        <f t="array" ref="F435">_xlfn.IFS(B435="tt",D435/100*7*3900/1000,B435="order",D435/1000)</f>
        <v>8224</v>
      </c>
      <c r="G435" s="44" cm="1">
        <f t="array" ref="G435">_xlfn.IFS(B435="tt",E435/100*7*3900/1000,B435="order",E435/1000)</f>
        <v>822.4</v>
      </c>
      <c r="H435" t="str">
        <f t="shared" si="6"/>
        <v>202602</v>
      </c>
    </row>
    <row r="436" spans="1:8">
      <c r="A436" s="43">
        <v>46068</v>
      </c>
      <c r="B436" t="s">
        <v>19</v>
      </c>
      <c r="C436" t="s">
        <v>11</v>
      </c>
      <c r="D436">
        <v>6136000</v>
      </c>
      <c r="E436">
        <v>613600</v>
      </c>
      <c r="F436" cm="1">
        <f t="array" ref="F436">_xlfn.IFS(B436="tt",D436/100*7*3900/1000,B436="order",D436/1000)</f>
        <v>6136</v>
      </c>
      <c r="G436" s="44" cm="1">
        <f t="array" ref="G436">_xlfn.IFS(B436="tt",E436/100*7*3900/1000,B436="order",E436/1000)</f>
        <v>613.6</v>
      </c>
      <c r="H436" t="str">
        <f t="shared" si="6"/>
        <v>202602</v>
      </c>
    </row>
    <row r="437" spans="1:8">
      <c r="A437" s="43">
        <v>46069</v>
      </c>
      <c r="B437" t="s">
        <v>19</v>
      </c>
      <c r="C437" t="s">
        <v>11</v>
      </c>
      <c r="D437">
        <v>4965000</v>
      </c>
      <c r="E437">
        <v>496500</v>
      </c>
      <c r="F437" cm="1">
        <f t="array" ref="F437">_xlfn.IFS(B437="tt",D437/100*7*3900/1000,B437="order",D437/1000)</f>
        <v>4965</v>
      </c>
      <c r="G437" s="44" cm="1">
        <f t="array" ref="G437">_xlfn.IFS(B437="tt",E437/100*7*3900/1000,B437="order",E437/1000)</f>
        <v>496.5</v>
      </c>
      <c r="H437" t="str">
        <f t="shared" si="6"/>
        <v>202602</v>
      </c>
    </row>
    <row r="438" spans="1:8">
      <c r="A438" s="43">
        <v>46070</v>
      </c>
      <c r="B438" t="s">
        <v>19</v>
      </c>
      <c r="C438" t="s">
        <v>11</v>
      </c>
      <c r="D438">
        <v>7815000</v>
      </c>
      <c r="E438">
        <v>781500</v>
      </c>
      <c r="F438" cm="1">
        <f t="array" ref="F438">_xlfn.IFS(B438="tt",D438/100*7*3900/1000,B438="order",D438/1000)</f>
        <v>7815</v>
      </c>
      <c r="G438" s="44" cm="1">
        <f t="array" ref="G438">_xlfn.IFS(B438="tt",E438/100*7*3900/1000,B438="order",E438/1000)</f>
        <v>781.5</v>
      </c>
      <c r="H438" t="str">
        <f t="shared" si="6"/>
        <v>202602</v>
      </c>
    </row>
    <row r="439" spans="1:8">
      <c r="A439" s="43">
        <v>46071</v>
      </c>
      <c r="B439" t="s">
        <v>19</v>
      </c>
      <c r="C439" t="s">
        <v>11</v>
      </c>
      <c r="D439">
        <v>8780000</v>
      </c>
      <c r="E439">
        <v>878000</v>
      </c>
      <c r="F439" cm="1">
        <f t="array" ref="F439">_xlfn.IFS(B439="tt",D439/100*7*3900/1000,B439="order",D439/1000)</f>
        <v>8780</v>
      </c>
      <c r="G439" s="44" cm="1">
        <f t="array" ref="G439">_xlfn.IFS(B439="tt",E439/100*7*3900/1000,B439="order",E439/1000)</f>
        <v>878</v>
      </c>
      <c r="H439" t="str">
        <f t="shared" si="6"/>
        <v>202602</v>
      </c>
    </row>
    <row r="440" spans="1:8">
      <c r="A440" s="43">
        <v>46072</v>
      </c>
      <c r="B440" t="s">
        <v>19</v>
      </c>
      <c r="C440" t="s">
        <v>11</v>
      </c>
      <c r="D440">
        <v>4298000</v>
      </c>
      <c r="E440">
        <v>429800</v>
      </c>
      <c r="F440" cm="1">
        <f t="array" ref="F440">_xlfn.IFS(B440="tt",D440/100*7*3900/1000,B440="order",D440/1000)</f>
        <v>4298</v>
      </c>
      <c r="G440" s="44" cm="1">
        <f t="array" ref="G440">_xlfn.IFS(B440="tt",E440/100*7*3900/1000,B440="order",E440/1000)</f>
        <v>429.8</v>
      </c>
      <c r="H440" t="str">
        <f t="shared" si="6"/>
        <v>202602</v>
      </c>
    </row>
    <row r="441" spans="1:8">
      <c r="A441" s="43">
        <v>46073</v>
      </c>
      <c r="B441" t="s">
        <v>19</v>
      </c>
      <c r="C441" t="s">
        <v>11</v>
      </c>
      <c r="D441">
        <v>3375000</v>
      </c>
      <c r="E441">
        <v>337500</v>
      </c>
      <c r="F441" cm="1">
        <f t="array" ref="F441">_xlfn.IFS(B441="tt",D441/100*7*3900/1000,B441="order",D441/1000)</f>
        <v>3375</v>
      </c>
      <c r="G441" s="44" cm="1">
        <f t="array" ref="G441">_xlfn.IFS(B441="tt",E441/100*7*3900/1000,B441="order",E441/1000)</f>
        <v>337.5</v>
      </c>
      <c r="H441" t="str">
        <f t="shared" si="6"/>
        <v>202602</v>
      </c>
    </row>
    <row r="442" spans="1:8">
      <c r="A442" s="43">
        <v>46074</v>
      </c>
      <c r="B442" t="s">
        <v>19</v>
      </c>
      <c r="C442" t="s">
        <v>11</v>
      </c>
      <c r="D442">
        <v>3712000</v>
      </c>
      <c r="E442">
        <v>371200</v>
      </c>
      <c r="F442" cm="1">
        <f t="array" ref="F442">_xlfn.IFS(B442="tt",D442/100*7*3900/1000,B442="order",D442/1000)</f>
        <v>3712</v>
      </c>
      <c r="G442" s="44" cm="1">
        <f t="array" ref="G442">_xlfn.IFS(B442="tt",E442/100*7*3900/1000,B442="order",E442/1000)</f>
        <v>371.2</v>
      </c>
      <c r="H442" t="str">
        <f t="shared" si="6"/>
        <v>202602</v>
      </c>
    </row>
    <row r="443" spans="1:8">
      <c r="A443" s="43">
        <v>46075</v>
      </c>
      <c r="B443" t="s">
        <v>19</v>
      </c>
      <c r="C443" t="s">
        <v>11</v>
      </c>
      <c r="D443">
        <v>2069000</v>
      </c>
      <c r="E443">
        <v>206900</v>
      </c>
      <c r="F443" cm="1">
        <f t="array" ref="F443">_xlfn.IFS(B443="tt",D443/100*7*3900/1000,B443="order",D443/1000)</f>
        <v>2069</v>
      </c>
      <c r="G443" s="44" cm="1">
        <f t="array" ref="G443">_xlfn.IFS(B443="tt",E443/100*7*3900/1000,B443="order",E443/1000)</f>
        <v>206.9</v>
      </c>
      <c r="H443" t="str">
        <f t="shared" si="6"/>
        <v>202602</v>
      </c>
    </row>
    <row r="444" spans="1:8">
      <c r="A444" s="43">
        <v>46076</v>
      </c>
      <c r="B444" t="s">
        <v>19</v>
      </c>
      <c r="C444" t="s">
        <v>11</v>
      </c>
      <c r="D444">
        <v>4272000</v>
      </c>
      <c r="E444">
        <v>427200</v>
      </c>
      <c r="F444" cm="1">
        <f t="array" ref="F444">_xlfn.IFS(B444="tt",D444/100*7*3900/1000,B444="order",D444/1000)</f>
        <v>4272</v>
      </c>
      <c r="G444" s="44" cm="1">
        <f t="array" ref="G444">_xlfn.IFS(B444="tt",E444/100*7*3900/1000,B444="order",E444/1000)</f>
        <v>427.2</v>
      </c>
      <c r="H444" t="str">
        <f t="shared" si="6"/>
        <v>202602</v>
      </c>
    </row>
    <row r="445" spans="1:8">
      <c r="A445" s="43">
        <v>46077</v>
      </c>
      <c r="B445" t="s">
        <v>19</v>
      </c>
      <c r="C445" t="s">
        <v>11</v>
      </c>
      <c r="D445">
        <v>3981000</v>
      </c>
      <c r="E445">
        <v>398100</v>
      </c>
      <c r="F445" cm="1">
        <f t="array" ref="F445">_xlfn.IFS(B445="tt",D445/100*7*3900/1000,B445="order",D445/1000)</f>
        <v>3981</v>
      </c>
      <c r="G445" s="44" cm="1">
        <f t="array" ref="G445">_xlfn.IFS(B445="tt",E445/100*7*3900/1000,B445="order",E445/1000)</f>
        <v>398.1</v>
      </c>
      <c r="H445" t="str">
        <f t="shared" si="6"/>
        <v>202602</v>
      </c>
    </row>
    <row r="446" spans="1:8">
      <c r="A446" s="43">
        <v>46078</v>
      </c>
      <c r="B446" t="s">
        <v>19</v>
      </c>
      <c r="C446" t="s">
        <v>11</v>
      </c>
      <c r="D446">
        <v>6150000</v>
      </c>
      <c r="E446">
        <v>615000</v>
      </c>
      <c r="F446" cm="1">
        <f t="array" ref="F446">_xlfn.IFS(B446="tt",D446/100*7*3900/1000,B446="order",D446/1000)</f>
        <v>6150</v>
      </c>
      <c r="G446" s="44" cm="1">
        <f t="array" ref="G446">_xlfn.IFS(B446="tt",E446/100*7*3900/1000,B446="order",E446/1000)</f>
        <v>615</v>
      </c>
      <c r="H446" t="str">
        <f t="shared" si="6"/>
        <v>202602</v>
      </c>
    </row>
    <row r="447" spans="1:8">
      <c r="A447" s="43">
        <v>46079</v>
      </c>
      <c r="B447" t="s">
        <v>19</v>
      </c>
      <c r="C447" t="s">
        <v>11</v>
      </c>
      <c r="D447">
        <v>278000</v>
      </c>
      <c r="E447">
        <v>27800</v>
      </c>
      <c r="F447" cm="1">
        <f t="array" ref="F447">_xlfn.IFS(B447="tt",D447/100*7*3900/1000,B447="order",D447/1000)</f>
        <v>278</v>
      </c>
      <c r="G447" s="44" cm="1">
        <f t="array" ref="G447">_xlfn.IFS(B447="tt",E447/100*7*3900/1000,B447="order",E447/1000)</f>
        <v>27.8</v>
      </c>
      <c r="H447" t="str">
        <f t="shared" si="6"/>
        <v>202602</v>
      </c>
    </row>
    <row r="448" spans="1:8">
      <c r="A448" s="43">
        <v>46080</v>
      </c>
      <c r="B448" t="s">
        <v>19</v>
      </c>
      <c r="C448" t="s">
        <v>11</v>
      </c>
      <c r="D448">
        <v>2594000</v>
      </c>
      <c r="E448">
        <v>259400</v>
      </c>
      <c r="F448" cm="1">
        <f t="array" ref="F448">_xlfn.IFS(B448="tt",D448/100*7*3900/1000,B448="order",D448/1000)</f>
        <v>2594</v>
      </c>
      <c r="G448" s="44" cm="1">
        <f t="array" ref="G448">_xlfn.IFS(B448="tt",E448/100*7*3900/1000,B448="order",E448/1000)</f>
        <v>259.4</v>
      </c>
      <c r="H448" t="str">
        <f t="shared" si="6"/>
        <v>202602</v>
      </c>
    </row>
    <row r="449" spans="1:8">
      <c r="A449" s="43">
        <v>46081</v>
      </c>
      <c r="B449" t="s">
        <v>19</v>
      </c>
      <c r="C449" t="s">
        <v>11</v>
      </c>
      <c r="D449">
        <v>3337000</v>
      </c>
      <c r="E449">
        <v>333700</v>
      </c>
      <c r="F449" cm="1">
        <f t="array" ref="F449">_xlfn.IFS(B449="tt",D449/100*7*3900/1000,B449="order",D449/1000)</f>
        <v>3337</v>
      </c>
      <c r="G449" s="44" cm="1">
        <f t="array" ref="G449">_xlfn.IFS(B449="tt",E449/100*7*3900/1000,B449="order",E449/1000)</f>
        <v>333.7</v>
      </c>
      <c r="H449" t="str">
        <f t="shared" si="6"/>
        <v>202602</v>
      </c>
    </row>
    <row r="450" spans="1:8">
      <c r="A450" s="43">
        <v>46082</v>
      </c>
      <c r="B450" t="s">
        <v>19</v>
      </c>
      <c r="C450" t="s">
        <v>11</v>
      </c>
      <c r="D450">
        <v>3100000</v>
      </c>
      <c r="E450">
        <v>310000</v>
      </c>
      <c r="F450" cm="1">
        <f t="array" ref="F450">_xlfn.IFS(B450="tt",D450/100*7*3900/1000,B450="order",D450/1000)</f>
        <v>3100</v>
      </c>
      <c r="G450" s="44" cm="1">
        <f t="array" ref="G450">_xlfn.IFS(B450="tt",E450/100*7*3900/1000,B450="order",E450/1000)</f>
        <v>310</v>
      </c>
      <c r="H450" t="str">
        <f t="shared" si="6"/>
        <v>202603</v>
      </c>
    </row>
    <row r="451" spans="1:8">
      <c r="A451" s="43">
        <v>46083</v>
      </c>
      <c r="B451" t="s">
        <v>19</v>
      </c>
      <c r="C451" t="s">
        <v>11</v>
      </c>
      <c r="D451">
        <v>1300000</v>
      </c>
      <c r="E451">
        <v>130000</v>
      </c>
      <c r="F451" cm="1">
        <f t="array" ref="F451">_xlfn.IFS(B451="tt",D451/100*7*3900/1000,B451="order",D451/1000)</f>
        <v>1300</v>
      </c>
      <c r="G451" s="44" cm="1">
        <f t="array" ref="G451">_xlfn.IFS(B451="tt",E451/100*7*3900/1000,B451="order",E451/1000)</f>
        <v>130</v>
      </c>
      <c r="H451" t="str">
        <f t="shared" ref="H451:H514" si="7">YEAR(A451)&amp;RIGHT("0"&amp;MONTH(A451),2)</f>
        <v>202603</v>
      </c>
    </row>
    <row r="452" spans="1:8">
      <c r="A452" s="43">
        <v>46084</v>
      </c>
      <c r="B452" t="s">
        <v>19</v>
      </c>
      <c r="C452" t="s">
        <v>11</v>
      </c>
      <c r="D452">
        <v>7744000</v>
      </c>
      <c r="E452">
        <v>774400</v>
      </c>
      <c r="F452" cm="1">
        <f t="array" ref="F452">_xlfn.IFS(B452="tt",D452/100*7*3900/1000,B452="order",D452/1000)</f>
        <v>7744</v>
      </c>
      <c r="G452" s="44" cm="1">
        <f t="array" ref="G452">_xlfn.IFS(B452="tt",E452/100*7*3900/1000,B452="order",E452/1000)</f>
        <v>774.4</v>
      </c>
      <c r="H452" t="str">
        <f t="shared" si="7"/>
        <v>202603</v>
      </c>
    </row>
    <row r="453" spans="1:8">
      <c r="A453" s="43">
        <v>46085</v>
      </c>
      <c r="B453" t="s">
        <v>19</v>
      </c>
      <c r="C453" t="s">
        <v>11</v>
      </c>
      <c r="D453">
        <v>4050000</v>
      </c>
      <c r="E453">
        <v>405000</v>
      </c>
      <c r="F453" cm="1">
        <f t="array" ref="F453">_xlfn.IFS(B453="tt",D453/100*7*3900/1000,B453="order",D453/1000)</f>
        <v>4050</v>
      </c>
      <c r="G453" s="44" cm="1">
        <f t="array" ref="G453">_xlfn.IFS(B453="tt",E453/100*7*3900/1000,B453="order",E453/1000)</f>
        <v>405</v>
      </c>
      <c r="H453" t="str">
        <f t="shared" si="7"/>
        <v>202603</v>
      </c>
    </row>
    <row r="454" spans="1:8">
      <c r="A454" s="43">
        <v>46086</v>
      </c>
      <c r="B454" t="s">
        <v>19</v>
      </c>
      <c r="C454" t="s">
        <v>11</v>
      </c>
      <c r="D454">
        <v>4709000</v>
      </c>
      <c r="E454">
        <v>470900</v>
      </c>
      <c r="F454" cm="1">
        <f t="array" ref="F454">_xlfn.IFS(B454="tt",D454/100*7*3900/1000,B454="order",D454/1000)</f>
        <v>4709</v>
      </c>
      <c r="G454" s="44" cm="1">
        <f t="array" ref="G454">_xlfn.IFS(B454="tt",E454/100*7*3900/1000,B454="order",E454/1000)</f>
        <v>470.9</v>
      </c>
      <c r="H454" t="str">
        <f t="shared" si="7"/>
        <v>202603</v>
      </c>
    </row>
    <row r="455" spans="1:8">
      <c r="A455" s="43">
        <v>46087</v>
      </c>
      <c r="B455" t="s">
        <v>19</v>
      </c>
      <c r="C455" t="s">
        <v>11</v>
      </c>
      <c r="D455">
        <v>12100000</v>
      </c>
      <c r="E455">
        <v>1210000</v>
      </c>
      <c r="F455" cm="1">
        <f t="array" ref="F455">_xlfn.IFS(B455="tt",D455/100*7*3900/1000,B455="order",D455/1000)</f>
        <v>12100</v>
      </c>
      <c r="G455" s="44" cm="1">
        <f t="array" ref="G455">_xlfn.IFS(B455="tt",E455/100*7*3900/1000,B455="order",E455/1000)</f>
        <v>1210</v>
      </c>
      <c r="H455" t="str">
        <f t="shared" si="7"/>
        <v>202603</v>
      </c>
    </row>
    <row r="456" spans="1:8">
      <c r="A456" s="43">
        <v>46088</v>
      </c>
      <c r="B456" t="s">
        <v>19</v>
      </c>
      <c r="C456" t="s">
        <v>11</v>
      </c>
      <c r="D456">
        <v>5109000</v>
      </c>
      <c r="E456">
        <v>510900</v>
      </c>
      <c r="F456" cm="1">
        <f t="array" ref="F456">_xlfn.IFS(B456="tt",D456/100*7*3900/1000,B456="order",D456/1000)</f>
        <v>5109</v>
      </c>
      <c r="G456" s="44" cm="1">
        <f t="array" ref="G456">_xlfn.IFS(B456="tt",E456/100*7*3900/1000,B456="order",E456/1000)</f>
        <v>510.9</v>
      </c>
      <c r="H456" t="str">
        <f t="shared" si="7"/>
        <v>202603</v>
      </c>
    </row>
    <row r="457" spans="1:8">
      <c r="A457" s="43">
        <v>46089</v>
      </c>
      <c r="B457" t="s">
        <v>19</v>
      </c>
      <c r="C457" t="s">
        <v>11</v>
      </c>
      <c r="D457">
        <v>6450000</v>
      </c>
      <c r="E457">
        <v>645000</v>
      </c>
      <c r="F457" cm="1">
        <f t="array" ref="F457">_xlfn.IFS(B457="tt",D457/100*7*3900/1000,B457="order",D457/1000)</f>
        <v>6450</v>
      </c>
      <c r="G457" s="44" cm="1">
        <f t="array" ref="G457">_xlfn.IFS(B457="tt",E457/100*7*3900/1000,B457="order",E457/1000)</f>
        <v>645</v>
      </c>
      <c r="H457" t="str">
        <f t="shared" si="7"/>
        <v>202603</v>
      </c>
    </row>
    <row r="458" spans="1:8">
      <c r="A458" s="43">
        <v>46090</v>
      </c>
      <c r="B458" t="s">
        <v>19</v>
      </c>
      <c r="C458" t="s">
        <v>11</v>
      </c>
      <c r="D458">
        <v>1000000</v>
      </c>
      <c r="E458">
        <v>100000</v>
      </c>
      <c r="F458" cm="1">
        <f t="array" ref="F458">_xlfn.IFS(B458="tt",D458/100*7*3900/1000,B458="order",D458/1000)</f>
        <v>1000</v>
      </c>
      <c r="G458" s="44" cm="1">
        <f t="array" ref="G458">_xlfn.IFS(B458="tt",E458/100*7*3900/1000,B458="order",E458/1000)</f>
        <v>100</v>
      </c>
      <c r="H458" t="str">
        <f t="shared" si="7"/>
        <v>202603</v>
      </c>
    </row>
    <row r="459" spans="1:8">
      <c r="A459" s="43">
        <v>46091</v>
      </c>
      <c r="B459" t="s">
        <v>19</v>
      </c>
      <c r="C459" t="s">
        <v>11</v>
      </c>
      <c r="D459">
        <v>11022000</v>
      </c>
      <c r="E459">
        <v>1102200</v>
      </c>
      <c r="F459" cm="1">
        <f t="array" ref="F459">_xlfn.IFS(B459="tt",D459/100*7*3900/1000,B459="order",D459/1000)</f>
        <v>11022</v>
      </c>
      <c r="G459" s="44" cm="1">
        <f t="array" ref="G459">_xlfn.IFS(B459="tt",E459/100*7*3900/1000,B459="order",E459/1000)</f>
        <v>1102.2</v>
      </c>
      <c r="H459" t="str">
        <f t="shared" si="7"/>
        <v>202603</v>
      </c>
    </row>
    <row r="460" spans="1:8">
      <c r="A460" s="43">
        <v>46092</v>
      </c>
      <c r="B460" t="s">
        <v>19</v>
      </c>
      <c r="C460" t="s">
        <v>11</v>
      </c>
      <c r="D460">
        <v>9585000</v>
      </c>
      <c r="E460">
        <v>958500</v>
      </c>
      <c r="F460" cm="1">
        <f t="array" ref="F460">_xlfn.IFS(B460="tt",D460/100*7*3900/1000,B460="order",D460/1000)</f>
        <v>9585</v>
      </c>
      <c r="G460" s="44" cm="1">
        <f t="array" ref="G460">_xlfn.IFS(B460="tt",E460/100*7*3900/1000,B460="order",E460/1000)</f>
        <v>958.5</v>
      </c>
      <c r="H460" t="str">
        <f t="shared" si="7"/>
        <v>202603</v>
      </c>
    </row>
    <row r="461" spans="1:8">
      <c r="A461" s="43">
        <v>46093</v>
      </c>
      <c r="B461" t="s">
        <v>19</v>
      </c>
      <c r="C461" t="s">
        <v>11</v>
      </c>
      <c r="D461">
        <v>383000</v>
      </c>
      <c r="E461">
        <v>38300</v>
      </c>
      <c r="F461" cm="1">
        <f t="array" ref="F461">_xlfn.IFS(B461="tt",D461/100*7*3900/1000,B461="order",D461/1000)</f>
        <v>383</v>
      </c>
      <c r="G461" s="44" cm="1">
        <f t="array" ref="G461">_xlfn.IFS(B461="tt",E461/100*7*3900/1000,B461="order",E461/1000)</f>
        <v>38.3</v>
      </c>
      <c r="H461" t="str">
        <f t="shared" si="7"/>
        <v>202603</v>
      </c>
    </row>
    <row r="462" spans="1:8">
      <c r="A462" s="43">
        <v>46094</v>
      </c>
      <c r="B462" t="s">
        <v>19</v>
      </c>
      <c r="C462" t="s">
        <v>11</v>
      </c>
      <c r="D462">
        <v>8158000</v>
      </c>
      <c r="E462">
        <v>815800</v>
      </c>
      <c r="F462" cm="1">
        <f t="array" ref="F462">_xlfn.IFS(B462="tt",D462/100*7*3900/1000,B462="order",D462/1000)</f>
        <v>8158</v>
      </c>
      <c r="G462" s="44" cm="1">
        <f t="array" ref="G462">_xlfn.IFS(B462="tt",E462/100*7*3900/1000,B462="order",E462/1000)</f>
        <v>815.8</v>
      </c>
      <c r="H462" t="str">
        <f t="shared" si="7"/>
        <v>202603</v>
      </c>
    </row>
    <row r="463" spans="1:8">
      <c r="A463" s="43">
        <v>46095</v>
      </c>
      <c r="B463" t="s">
        <v>19</v>
      </c>
      <c r="C463" t="s">
        <v>11</v>
      </c>
      <c r="D463">
        <v>3478000</v>
      </c>
      <c r="E463">
        <v>347800</v>
      </c>
      <c r="F463" cm="1">
        <f t="array" ref="F463">_xlfn.IFS(B463="tt",D463/100*7*3900/1000,B463="order",D463/1000)</f>
        <v>3478</v>
      </c>
      <c r="G463" s="44" cm="1">
        <f t="array" ref="G463">_xlfn.IFS(B463="tt",E463/100*7*3900/1000,B463="order",E463/1000)</f>
        <v>347.8</v>
      </c>
      <c r="H463" t="str">
        <f t="shared" si="7"/>
        <v>202603</v>
      </c>
    </row>
    <row r="464" spans="1:8">
      <c r="A464" s="43">
        <v>46096</v>
      </c>
      <c r="B464" t="s">
        <v>19</v>
      </c>
      <c r="C464" t="s">
        <v>11</v>
      </c>
      <c r="D464">
        <v>3212000</v>
      </c>
      <c r="E464">
        <v>321200</v>
      </c>
      <c r="F464" cm="1">
        <f t="array" ref="F464">_xlfn.IFS(B464="tt",D464/100*7*3900/1000,B464="order",D464/1000)</f>
        <v>3212</v>
      </c>
      <c r="G464" s="44" cm="1">
        <f t="array" ref="G464">_xlfn.IFS(B464="tt",E464/100*7*3900/1000,B464="order",E464/1000)</f>
        <v>321.2</v>
      </c>
      <c r="H464" t="str">
        <f t="shared" si="7"/>
        <v>202603</v>
      </c>
    </row>
    <row r="465" spans="1:8">
      <c r="A465" s="43">
        <v>46097</v>
      </c>
      <c r="B465" t="s">
        <v>19</v>
      </c>
      <c r="C465" t="s">
        <v>11</v>
      </c>
      <c r="D465">
        <v>7570000</v>
      </c>
      <c r="E465">
        <v>757000</v>
      </c>
      <c r="F465" cm="1">
        <f t="array" ref="F465">_xlfn.IFS(B465="tt",D465/100*7*3900/1000,B465="order",D465/1000)</f>
        <v>7570</v>
      </c>
      <c r="G465" s="44" cm="1">
        <f t="array" ref="G465">_xlfn.IFS(B465="tt",E465/100*7*3900/1000,B465="order",E465/1000)</f>
        <v>757</v>
      </c>
      <c r="H465" t="str">
        <f t="shared" si="7"/>
        <v>202603</v>
      </c>
    </row>
    <row r="466" spans="1:8">
      <c r="A466" s="43">
        <v>46098</v>
      </c>
      <c r="B466" t="s">
        <v>19</v>
      </c>
      <c r="C466" t="s">
        <v>11</v>
      </c>
      <c r="D466">
        <v>2992000</v>
      </c>
      <c r="E466">
        <v>299200</v>
      </c>
      <c r="F466" cm="1">
        <f t="array" ref="F466">_xlfn.IFS(B466="tt",D466/100*7*3900/1000,B466="order",D466/1000)</f>
        <v>2992</v>
      </c>
      <c r="G466" s="44" cm="1">
        <f t="array" ref="G466">_xlfn.IFS(B466="tt",E466/100*7*3900/1000,B466="order",E466/1000)</f>
        <v>299.2</v>
      </c>
      <c r="H466" t="str">
        <f t="shared" si="7"/>
        <v>202603</v>
      </c>
    </row>
    <row r="467" spans="1:8">
      <c r="A467" s="43">
        <v>46099</v>
      </c>
      <c r="B467" t="s">
        <v>19</v>
      </c>
      <c r="C467" t="s">
        <v>11</v>
      </c>
      <c r="D467">
        <v>3454000</v>
      </c>
      <c r="E467">
        <v>345400</v>
      </c>
      <c r="F467" cm="1">
        <f t="array" ref="F467">_xlfn.IFS(B467="tt",D467/100*7*3900/1000,B467="order",D467/1000)</f>
        <v>3454</v>
      </c>
      <c r="G467" s="44" cm="1">
        <f t="array" ref="G467">_xlfn.IFS(B467="tt",E467/100*7*3900/1000,B467="order",E467/1000)</f>
        <v>345.4</v>
      </c>
      <c r="H467" t="str">
        <f t="shared" si="7"/>
        <v>202603</v>
      </c>
    </row>
    <row r="468" spans="1:8">
      <c r="A468" s="43">
        <v>46100</v>
      </c>
      <c r="B468" t="s">
        <v>19</v>
      </c>
      <c r="C468" t="s">
        <v>11</v>
      </c>
      <c r="D468">
        <v>7441000</v>
      </c>
      <c r="E468">
        <v>744100</v>
      </c>
      <c r="F468" cm="1">
        <f t="array" ref="F468">_xlfn.IFS(B468="tt",D468/100*7*3900/1000,B468="order",D468/1000)</f>
        <v>7441</v>
      </c>
      <c r="G468" s="44" cm="1">
        <f t="array" ref="G468">_xlfn.IFS(B468="tt",E468/100*7*3900/1000,B468="order",E468/1000)</f>
        <v>744.1</v>
      </c>
      <c r="H468" t="str">
        <f t="shared" si="7"/>
        <v>202603</v>
      </c>
    </row>
    <row r="469" spans="1:8">
      <c r="A469" s="43">
        <v>46101</v>
      </c>
      <c r="B469" t="s">
        <v>19</v>
      </c>
      <c r="C469" t="s">
        <v>11</v>
      </c>
      <c r="D469">
        <v>5131000</v>
      </c>
      <c r="E469">
        <v>513100</v>
      </c>
      <c r="F469" cm="1">
        <f t="array" ref="F469">_xlfn.IFS(B469="tt",D469/100*7*3900/1000,B469="order",D469/1000)</f>
        <v>5131</v>
      </c>
      <c r="G469" s="44" cm="1">
        <f t="array" ref="G469">_xlfn.IFS(B469="tt",E469/100*7*3900/1000,B469="order",E469/1000)</f>
        <v>513.1</v>
      </c>
      <c r="H469" t="str">
        <f t="shared" si="7"/>
        <v>202603</v>
      </c>
    </row>
    <row r="470" spans="1:8">
      <c r="A470" s="43">
        <v>46102</v>
      </c>
      <c r="B470" t="s">
        <v>19</v>
      </c>
      <c r="C470" t="s">
        <v>11</v>
      </c>
      <c r="D470">
        <v>2650000</v>
      </c>
      <c r="E470">
        <v>265000</v>
      </c>
      <c r="F470" cm="1">
        <f t="array" ref="F470">_xlfn.IFS(B470="tt",D470/100*7*3900/1000,B470="order",D470/1000)</f>
        <v>2650</v>
      </c>
      <c r="G470" s="44" cm="1">
        <f t="array" ref="G470">_xlfn.IFS(B470="tt",E470/100*7*3900/1000,B470="order",E470/1000)</f>
        <v>265</v>
      </c>
      <c r="H470" t="str">
        <f t="shared" si="7"/>
        <v>202603</v>
      </c>
    </row>
    <row r="471" spans="1:8">
      <c r="A471" s="43">
        <v>46103</v>
      </c>
      <c r="B471" t="s">
        <v>19</v>
      </c>
      <c r="C471" t="s">
        <v>11</v>
      </c>
      <c r="D471">
        <v>6995000</v>
      </c>
      <c r="E471">
        <v>699500</v>
      </c>
      <c r="F471" cm="1">
        <f t="array" ref="F471">_xlfn.IFS(B471="tt",D471/100*7*3900/1000,B471="order",D471/1000)</f>
        <v>6995</v>
      </c>
      <c r="G471" s="44" cm="1">
        <f t="array" ref="G471">_xlfn.IFS(B471="tt",E471/100*7*3900/1000,B471="order",E471/1000)</f>
        <v>699.5</v>
      </c>
      <c r="H471" t="str">
        <f t="shared" si="7"/>
        <v>202603</v>
      </c>
    </row>
    <row r="472" spans="1:8">
      <c r="A472" s="43">
        <v>46104</v>
      </c>
      <c r="B472" t="s">
        <v>19</v>
      </c>
      <c r="C472" t="s">
        <v>11</v>
      </c>
      <c r="D472">
        <v>5213000</v>
      </c>
      <c r="E472">
        <v>521300</v>
      </c>
      <c r="F472" cm="1">
        <f t="array" ref="F472">_xlfn.IFS(B472="tt",D472/100*7*3900/1000,B472="order",D472/1000)</f>
        <v>5213</v>
      </c>
      <c r="G472" s="44" cm="1">
        <f t="array" ref="G472">_xlfn.IFS(B472="tt",E472/100*7*3900/1000,B472="order",E472/1000)</f>
        <v>521.3</v>
      </c>
      <c r="H472" t="str">
        <f t="shared" si="7"/>
        <v>202603</v>
      </c>
    </row>
    <row r="473" spans="1:8">
      <c r="A473" s="43">
        <v>46105</v>
      </c>
      <c r="B473" t="s">
        <v>19</v>
      </c>
      <c r="C473" t="s">
        <v>11</v>
      </c>
      <c r="D473">
        <v>6459000</v>
      </c>
      <c r="E473">
        <v>645900</v>
      </c>
      <c r="F473" cm="1">
        <f t="array" ref="F473">_xlfn.IFS(B473="tt",D473/100*7*3900/1000,B473="order",D473/1000)</f>
        <v>6459</v>
      </c>
      <c r="G473" s="44" cm="1">
        <f t="array" ref="G473">_xlfn.IFS(B473="tt",E473/100*7*3900/1000,B473="order",E473/1000)</f>
        <v>645.9</v>
      </c>
      <c r="H473" t="str">
        <f t="shared" si="7"/>
        <v>202603</v>
      </c>
    </row>
    <row r="474" spans="1:8">
      <c r="A474" s="43">
        <v>46106</v>
      </c>
      <c r="B474" t="s">
        <v>19</v>
      </c>
      <c r="C474" t="s">
        <v>11</v>
      </c>
      <c r="D474">
        <v>3842000</v>
      </c>
      <c r="E474">
        <v>384200</v>
      </c>
      <c r="F474" cm="1">
        <f t="array" ref="F474">_xlfn.IFS(B474="tt",D474/100*7*3900/1000,B474="order",D474/1000)</f>
        <v>3842</v>
      </c>
      <c r="G474" s="44" cm="1">
        <f t="array" ref="G474">_xlfn.IFS(B474="tt",E474/100*7*3900/1000,B474="order",E474/1000)</f>
        <v>384.2</v>
      </c>
      <c r="H474" t="str">
        <f t="shared" si="7"/>
        <v>202603</v>
      </c>
    </row>
    <row r="475" spans="1:8">
      <c r="A475" s="43">
        <v>46107</v>
      </c>
      <c r="B475" t="s">
        <v>19</v>
      </c>
      <c r="C475" t="s">
        <v>11</v>
      </c>
      <c r="D475">
        <v>1564000</v>
      </c>
      <c r="E475">
        <v>156400</v>
      </c>
      <c r="F475" cm="1">
        <f t="array" ref="F475">_xlfn.IFS(B475="tt",D475/100*7*3900/1000,B475="order",D475/1000)</f>
        <v>1564</v>
      </c>
      <c r="G475" s="44" cm="1">
        <f t="array" ref="G475">_xlfn.IFS(B475="tt",E475/100*7*3900/1000,B475="order",E475/1000)</f>
        <v>156.4</v>
      </c>
      <c r="H475" t="str">
        <f t="shared" si="7"/>
        <v>202603</v>
      </c>
    </row>
    <row r="476" spans="1:8">
      <c r="A476" s="43">
        <v>46108</v>
      </c>
      <c r="B476" t="s">
        <v>19</v>
      </c>
      <c r="C476" t="s">
        <v>11</v>
      </c>
      <c r="D476">
        <v>3764000</v>
      </c>
      <c r="E476">
        <v>376400</v>
      </c>
      <c r="F476" cm="1">
        <f t="array" ref="F476">_xlfn.IFS(B476="tt",D476/100*7*3900/1000,B476="order",D476/1000)</f>
        <v>3764</v>
      </c>
      <c r="G476" s="44" cm="1">
        <f t="array" ref="G476">_xlfn.IFS(B476="tt",E476/100*7*3900/1000,B476="order",E476/1000)</f>
        <v>376.4</v>
      </c>
      <c r="H476" t="str">
        <f t="shared" si="7"/>
        <v>202603</v>
      </c>
    </row>
    <row r="477" spans="1:8">
      <c r="A477" s="43">
        <v>46109</v>
      </c>
      <c r="B477" t="s">
        <v>19</v>
      </c>
      <c r="C477" t="s">
        <v>11</v>
      </c>
      <c r="D477">
        <v>5200000</v>
      </c>
      <c r="E477">
        <v>520000</v>
      </c>
      <c r="F477" cm="1">
        <f t="array" ref="F477">_xlfn.IFS(B477="tt",D477/100*7*3900/1000,B477="order",D477/1000)</f>
        <v>5200</v>
      </c>
      <c r="G477" s="44" cm="1">
        <f t="array" ref="G477">_xlfn.IFS(B477="tt",E477/100*7*3900/1000,B477="order",E477/1000)</f>
        <v>520</v>
      </c>
      <c r="H477" t="str">
        <f t="shared" si="7"/>
        <v>202603</v>
      </c>
    </row>
    <row r="478" spans="1:8">
      <c r="A478" s="43">
        <v>46110</v>
      </c>
      <c r="B478" t="s">
        <v>19</v>
      </c>
      <c r="C478" t="s">
        <v>11</v>
      </c>
      <c r="D478">
        <v>4723000</v>
      </c>
      <c r="E478">
        <v>472300</v>
      </c>
      <c r="F478" cm="1">
        <f t="array" ref="F478">_xlfn.IFS(B478="tt",D478/100*7*3900/1000,B478="order",D478/1000)</f>
        <v>4723</v>
      </c>
      <c r="G478" s="44" cm="1">
        <f t="array" ref="G478">_xlfn.IFS(B478="tt",E478/100*7*3900/1000,B478="order",E478/1000)</f>
        <v>472.3</v>
      </c>
      <c r="H478" t="str">
        <f t="shared" si="7"/>
        <v>202603</v>
      </c>
    </row>
    <row r="479" spans="1:8">
      <c r="A479" s="43">
        <v>46111</v>
      </c>
      <c r="B479" t="s">
        <v>19</v>
      </c>
      <c r="C479" t="s">
        <v>11</v>
      </c>
      <c r="D479">
        <v>1271000</v>
      </c>
      <c r="E479">
        <v>127100</v>
      </c>
      <c r="F479" cm="1">
        <f t="array" ref="F479">_xlfn.IFS(B479="tt",D479/100*7*3900/1000,B479="order",D479/1000)</f>
        <v>1271</v>
      </c>
      <c r="G479" s="44" cm="1">
        <f t="array" ref="G479">_xlfn.IFS(B479="tt",E479/100*7*3900/1000,B479="order",E479/1000)</f>
        <v>127.1</v>
      </c>
      <c r="H479" t="str">
        <f t="shared" si="7"/>
        <v>202603</v>
      </c>
    </row>
    <row r="480" spans="1:8">
      <c r="A480" s="43">
        <v>46112</v>
      </c>
      <c r="B480" t="s">
        <v>19</v>
      </c>
      <c r="C480" t="s">
        <v>11</v>
      </c>
      <c r="D480">
        <v>15613000</v>
      </c>
      <c r="E480">
        <v>1561300</v>
      </c>
      <c r="F480" cm="1">
        <f t="array" ref="F480">_xlfn.IFS(B480="tt",D480/100*7*3900/1000,B480="order",D480/1000)</f>
        <v>15613</v>
      </c>
      <c r="G480" s="44" cm="1">
        <f t="array" ref="G480">_xlfn.IFS(B480="tt",E480/100*7*3900/1000,B480="order",E480/1000)</f>
        <v>1561.3</v>
      </c>
      <c r="H480" t="str">
        <f t="shared" si="7"/>
        <v>202603</v>
      </c>
    </row>
    <row r="481" spans="1:8">
      <c r="A481" s="43">
        <v>46113</v>
      </c>
      <c r="B481" t="s">
        <v>19</v>
      </c>
      <c r="C481" t="s">
        <v>11</v>
      </c>
      <c r="D481">
        <v>2853000</v>
      </c>
      <c r="E481">
        <v>285300</v>
      </c>
      <c r="F481" cm="1">
        <f t="array" ref="F481">_xlfn.IFS(B481="tt",D481/100*7*3900/1000,B481="order",D481/1000)</f>
        <v>2853</v>
      </c>
      <c r="G481" s="44" cm="1">
        <f t="array" ref="G481">_xlfn.IFS(B481="tt",E481/100*7*3900/1000,B481="order",E481/1000)</f>
        <v>285.3</v>
      </c>
      <c r="H481" t="str">
        <f t="shared" si="7"/>
        <v>202604</v>
      </c>
    </row>
    <row r="482" spans="1:8">
      <c r="A482" s="43">
        <v>46114</v>
      </c>
      <c r="B482" t="s">
        <v>19</v>
      </c>
      <c r="C482" t="s">
        <v>11</v>
      </c>
      <c r="D482">
        <v>2301000</v>
      </c>
      <c r="E482">
        <v>230100</v>
      </c>
      <c r="F482" cm="1">
        <f t="array" ref="F482">_xlfn.IFS(B482="tt",D482/100*7*3900/1000,B482="order",D482/1000)</f>
        <v>2301</v>
      </c>
      <c r="G482" s="44" cm="1">
        <f t="array" ref="G482">_xlfn.IFS(B482="tt",E482/100*7*3900/1000,B482="order",E482/1000)</f>
        <v>230.1</v>
      </c>
      <c r="H482" t="str">
        <f t="shared" si="7"/>
        <v>202604</v>
      </c>
    </row>
    <row r="483" spans="1:8">
      <c r="A483" s="43">
        <v>46115</v>
      </c>
      <c r="B483" t="s">
        <v>19</v>
      </c>
      <c r="C483" t="s">
        <v>11</v>
      </c>
      <c r="D483">
        <v>7200000</v>
      </c>
      <c r="E483">
        <v>720000</v>
      </c>
      <c r="F483" cm="1">
        <f t="array" ref="F483">_xlfn.IFS(B483="tt",D483/100*7*3900/1000,B483="order",D483/1000)</f>
        <v>7200</v>
      </c>
      <c r="G483" s="44" cm="1">
        <f t="array" ref="G483">_xlfn.IFS(B483="tt",E483/100*7*3900/1000,B483="order",E483/1000)</f>
        <v>720</v>
      </c>
      <c r="H483" t="str">
        <f t="shared" si="7"/>
        <v>202604</v>
      </c>
    </row>
    <row r="484" spans="1:8">
      <c r="A484" s="43">
        <v>46116</v>
      </c>
      <c r="B484" t="s">
        <v>19</v>
      </c>
      <c r="C484" t="s">
        <v>11</v>
      </c>
      <c r="D484">
        <v>13943000</v>
      </c>
      <c r="E484">
        <v>1394300</v>
      </c>
      <c r="F484" cm="1">
        <f t="array" ref="F484">_xlfn.IFS(B484="tt",D484/100*7*3900/1000,B484="order",D484/1000)</f>
        <v>13943</v>
      </c>
      <c r="G484" s="44" cm="1">
        <f t="array" ref="G484">_xlfn.IFS(B484="tt",E484/100*7*3900/1000,B484="order",E484/1000)</f>
        <v>1394.3</v>
      </c>
      <c r="H484" t="str">
        <f t="shared" si="7"/>
        <v>202604</v>
      </c>
    </row>
    <row r="485" spans="1:8">
      <c r="A485" s="43">
        <v>46117</v>
      </c>
      <c r="B485" t="s">
        <v>19</v>
      </c>
      <c r="C485" t="s">
        <v>11</v>
      </c>
      <c r="D485">
        <v>2149000</v>
      </c>
      <c r="E485">
        <v>214900</v>
      </c>
      <c r="F485" cm="1">
        <f t="array" ref="F485">_xlfn.IFS(B485="tt",D485/100*7*3900/1000,B485="order",D485/1000)</f>
        <v>2149</v>
      </c>
      <c r="G485" s="44" cm="1">
        <f t="array" ref="G485">_xlfn.IFS(B485="tt",E485/100*7*3900/1000,B485="order",E485/1000)</f>
        <v>214.9</v>
      </c>
      <c r="H485" t="str">
        <f t="shared" si="7"/>
        <v>202604</v>
      </c>
    </row>
    <row r="486" spans="1:8">
      <c r="A486" s="43">
        <v>46118</v>
      </c>
      <c r="B486" t="s">
        <v>19</v>
      </c>
      <c r="C486" t="s">
        <v>11</v>
      </c>
      <c r="D486">
        <v>6284000</v>
      </c>
      <c r="E486">
        <v>628400</v>
      </c>
      <c r="F486" cm="1">
        <f t="array" ref="F486">_xlfn.IFS(B486="tt",D486/100*7*3900/1000,B486="order",D486/1000)</f>
        <v>6284</v>
      </c>
      <c r="G486" s="44" cm="1">
        <f t="array" ref="G486">_xlfn.IFS(B486="tt",E486/100*7*3900/1000,B486="order",E486/1000)</f>
        <v>628.4</v>
      </c>
      <c r="H486" t="str">
        <f t="shared" si="7"/>
        <v>202604</v>
      </c>
    </row>
    <row r="487" spans="1:8">
      <c r="A487" s="43">
        <v>46119</v>
      </c>
      <c r="B487" t="s">
        <v>19</v>
      </c>
      <c r="C487" t="s">
        <v>11</v>
      </c>
      <c r="D487">
        <v>1025000</v>
      </c>
      <c r="E487">
        <v>102500</v>
      </c>
      <c r="F487" cm="1">
        <f t="array" ref="F487">_xlfn.IFS(B487="tt",D487/100*7*3900/1000,B487="order",D487/1000)</f>
        <v>1025</v>
      </c>
      <c r="G487" s="44" cm="1">
        <f t="array" ref="G487">_xlfn.IFS(B487="tt",E487/100*7*3900/1000,B487="order",E487/1000)</f>
        <v>102.5</v>
      </c>
      <c r="H487" t="str">
        <f t="shared" si="7"/>
        <v>202604</v>
      </c>
    </row>
    <row r="488" spans="1:8">
      <c r="A488" s="43">
        <v>46120</v>
      </c>
      <c r="B488" t="s">
        <v>19</v>
      </c>
      <c r="C488" t="s">
        <v>11</v>
      </c>
      <c r="D488">
        <v>787000</v>
      </c>
      <c r="E488">
        <v>78700</v>
      </c>
      <c r="F488" cm="1">
        <f t="array" ref="F488">_xlfn.IFS(B488="tt",D488/100*7*3900/1000,B488="order",D488/1000)</f>
        <v>787</v>
      </c>
      <c r="G488" s="44" cm="1">
        <f t="array" ref="G488">_xlfn.IFS(B488="tt",E488/100*7*3900/1000,B488="order",E488/1000)</f>
        <v>78.7</v>
      </c>
      <c r="H488" t="str">
        <f t="shared" si="7"/>
        <v>202604</v>
      </c>
    </row>
    <row r="489" spans="1:8">
      <c r="A489" s="43">
        <v>46121</v>
      </c>
      <c r="B489" t="s">
        <v>19</v>
      </c>
      <c r="C489" t="s">
        <v>11</v>
      </c>
      <c r="D489">
        <v>875000</v>
      </c>
      <c r="E489">
        <v>87500</v>
      </c>
      <c r="F489" cm="1">
        <f t="array" ref="F489">_xlfn.IFS(B489="tt",D489/100*7*3900/1000,B489="order",D489/1000)</f>
        <v>875</v>
      </c>
      <c r="G489" s="44" cm="1">
        <f t="array" ref="G489">_xlfn.IFS(B489="tt",E489/100*7*3900/1000,B489="order",E489/1000)</f>
        <v>87.5</v>
      </c>
      <c r="H489" t="str">
        <f t="shared" si="7"/>
        <v>202604</v>
      </c>
    </row>
    <row r="490" spans="1:8">
      <c r="A490" s="43">
        <v>46122</v>
      </c>
      <c r="B490" t="s">
        <v>19</v>
      </c>
      <c r="C490" t="s">
        <v>23</v>
      </c>
      <c r="D490">
        <v>0</v>
      </c>
      <c r="E490">
        <v>0</v>
      </c>
      <c r="F490" cm="1">
        <f t="array" ref="F490">_xlfn.IFS(B490="tt",D490/100*7*3900/1000,B490="order",D490/1000)</f>
        <v>0</v>
      </c>
      <c r="G490" s="44" cm="1">
        <f t="array" ref="G490">_xlfn.IFS(B490="tt",E490/100*7*3900/1000,B490="order",E490/1000)</f>
        <v>0</v>
      </c>
      <c r="H490" t="str">
        <f t="shared" si="7"/>
        <v>202604</v>
      </c>
    </row>
    <row r="491" spans="1:8">
      <c r="A491" s="43">
        <v>46122</v>
      </c>
      <c r="B491" t="s">
        <v>19</v>
      </c>
      <c r="C491" t="s">
        <v>22</v>
      </c>
      <c r="D491">
        <v>0</v>
      </c>
      <c r="E491">
        <v>0</v>
      </c>
      <c r="F491" cm="1">
        <f t="array" ref="F491">_xlfn.IFS(B491="tt",D491/100*7*3900/1000,B491="order",D491/1000)</f>
        <v>0</v>
      </c>
      <c r="G491" s="44" cm="1">
        <f t="array" ref="G491">_xlfn.IFS(B491="tt",E491/100*7*3900/1000,B491="order",E491/1000)</f>
        <v>0</v>
      </c>
      <c r="H491" t="str">
        <f t="shared" si="7"/>
        <v>202604</v>
      </c>
    </row>
    <row r="492" spans="1:8">
      <c r="A492" s="43">
        <v>46122</v>
      </c>
      <c r="B492" t="s">
        <v>19</v>
      </c>
      <c r="C492" t="s">
        <v>21</v>
      </c>
      <c r="D492">
        <v>0</v>
      </c>
      <c r="E492">
        <v>0</v>
      </c>
      <c r="F492" cm="1">
        <f t="array" ref="F492">_xlfn.IFS(B492="tt",D492/100*7*3900/1000,B492="order",D492/1000)</f>
        <v>0</v>
      </c>
      <c r="G492" s="44" cm="1">
        <f t="array" ref="G492">_xlfn.IFS(B492="tt",E492/100*7*3900/1000,B492="order",E492/1000)</f>
        <v>0</v>
      </c>
      <c r="H492" t="str">
        <f t="shared" si="7"/>
        <v>202604</v>
      </c>
    </row>
    <row r="493" spans="1:8">
      <c r="A493" s="43">
        <v>46122</v>
      </c>
      <c r="B493" t="s">
        <v>19</v>
      </c>
      <c r="C493" t="s">
        <v>20</v>
      </c>
      <c r="D493">
        <v>0</v>
      </c>
      <c r="E493">
        <v>0</v>
      </c>
      <c r="F493" cm="1">
        <f t="array" ref="F493">_xlfn.IFS(B493="tt",D493/100*7*3900/1000,B493="order",D493/1000)</f>
        <v>0</v>
      </c>
      <c r="G493" s="44" cm="1">
        <f t="array" ref="G493">_xlfn.IFS(B493="tt",E493/100*7*3900/1000,B493="order",E493/1000)</f>
        <v>0</v>
      </c>
      <c r="H493" t="str">
        <f t="shared" si="7"/>
        <v>202604</v>
      </c>
    </row>
    <row r="494" spans="1:8">
      <c r="A494" s="43">
        <v>46122</v>
      </c>
      <c r="B494" t="s">
        <v>19</v>
      </c>
      <c r="C494" t="s">
        <v>18</v>
      </c>
      <c r="D494">
        <v>0</v>
      </c>
      <c r="E494">
        <v>0</v>
      </c>
      <c r="F494" cm="1">
        <f t="array" ref="F494">_xlfn.IFS(B494="tt",D494/100*7*3900/1000,B494="order",D494/1000)</f>
        <v>0</v>
      </c>
      <c r="G494" s="44" cm="1">
        <f t="array" ref="G494">_xlfn.IFS(B494="tt",E494/100*7*3900/1000,B494="order",E494/1000)</f>
        <v>0</v>
      </c>
      <c r="H494" t="str">
        <f t="shared" si="7"/>
        <v>202604</v>
      </c>
    </row>
    <row r="495" spans="1:8">
      <c r="A495" s="43">
        <v>46122</v>
      </c>
      <c r="B495" t="s">
        <v>19</v>
      </c>
      <c r="C495" t="s">
        <v>11</v>
      </c>
      <c r="D495">
        <v>3307000</v>
      </c>
      <c r="E495">
        <v>330700</v>
      </c>
      <c r="F495" cm="1">
        <f t="array" ref="F495">_xlfn.IFS(B495="tt",D495/100*7*3900/1000,B495="order",D495/1000)</f>
        <v>3307</v>
      </c>
      <c r="G495" s="44" cm="1">
        <f t="array" ref="G495">_xlfn.IFS(B495="tt",E495/100*7*3900/1000,B495="order",E495/1000)</f>
        <v>330.7</v>
      </c>
      <c r="H495" t="str">
        <f t="shared" si="7"/>
        <v>202604</v>
      </c>
    </row>
    <row r="496" spans="1:8">
      <c r="A496" s="43">
        <v>46122</v>
      </c>
      <c r="B496" t="s">
        <v>19</v>
      </c>
      <c r="C496" t="s">
        <v>10</v>
      </c>
      <c r="D496">
        <v>647000</v>
      </c>
      <c r="E496">
        <v>161750</v>
      </c>
      <c r="F496" cm="1">
        <f t="array" ref="F496">_xlfn.IFS(B496="tt",D496/100*7*3900/1000,B496="order",D496/1000)</f>
        <v>647</v>
      </c>
      <c r="G496" s="44" cm="1">
        <f t="array" ref="G496">_xlfn.IFS(B496="tt",E496/100*7*3900/1000,B496="order",E496/1000)</f>
        <v>161.75</v>
      </c>
      <c r="H496" t="str">
        <f t="shared" si="7"/>
        <v>202604</v>
      </c>
    </row>
    <row r="497" spans="1:8">
      <c r="A497" s="43">
        <v>46122</v>
      </c>
      <c r="B497" t="s">
        <v>9</v>
      </c>
      <c r="C497" t="s">
        <v>23</v>
      </c>
      <c r="D497">
        <v>892</v>
      </c>
      <c r="E497">
        <v>0</v>
      </c>
      <c r="F497" cm="1">
        <f t="array" ref="F497">_xlfn.IFS(B497="tt",D497/100*7*3900/1000,B497="order",D497/1000)</f>
        <v>243.516</v>
      </c>
      <c r="G497" s="44" cm="1">
        <f t="array" ref="G497">_xlfn.IFS(B497="tt",E497/100*7*3900/1000,B497="order",E497/1000)</f>
        <v>0</v>
      </c>
      <c r="H497" t="str">
        <f t="shared" si="7"/>
        <v>202604</v>
      </c>
    </row>
    <row r="498" spans="1:8">
      <c r="A498" s="43">
        <v>46122</v>
      </c>
      <c r="B498" t="s">
        <v>9</v>
      </c>
      <c r="C498" t="s">
        <v>22</v>
      </c>
      <c r="D498">
        <v>920</v>
      </c>
      <c r="E498">
        <v>0</v>
      </c>
      <c r="F498" cm="1">
        <f t="array" ref="F498">_xlfn.IFS(B498="tt",D498/100*7*3900/1000,B498="order",D498/1000)</f>
        <v>251.16</v>
      </c>
      <c r="G498" s="44" cm="1">
        <f t="array" ref="G498">_xlfn.IFS(B498="tt",E498/100*7*3900/1000,B498="order",E498/1000)</f>
        <v>0</v>
      </c>
      <c r="H498" t="str">
        <f t="shared" si="7"/>
        <v>202604</v>
      </c>
    </row>
    <row r="499" spans="1:8">
      <c r="A499" s="43">
        <v>46122</v>
      </c>
      <c r="B499" t="s">
        <v>9</v>
      </c>
      <c r="C499" t="s">
        <v>21</v>
      </c>
      <c r="D499">
        <v>1088</v>
      </c>
      <c r="E499">
        <v>0</v>
      </c>
      <c r="F499" cm="1">
        <f t="array" ref="F499">_xlfn.IFS(B499="tt",D499/100*7*3900/1000,B499="order",D499/1000)</f>
        <v>297.024</v>
      </c>
      <c r="G499" s="44" cm="1">
        <f t="array" ref="G499">_xlfn.IFS(B499="tt",E499/100*7*3900/1000,B499="order",E499/1000)</f>
        <v>0</v>
      </c>
      <c r="H499" t="str">
        <f t="shared" si="7"/>
        <v>202604</v>
      </c>
    </row>
    <row r="500" spans="1:8">
      <c r="A500" s="43">
        <v>46122</v>
      </c>
      <c r="B500" t="s">
        <v>9</v>
      </c>
      <c r="C500" t="s">
        <v>20</v>
      </c>
      <c r="D500">
        <v>3161</v>
      </c>
      <c r="E500">
        <v>0</v>
      </c>
      <c r="F500" cm="1">
        <f t="array" ref="F500">_xlfn.IFS(B500="tt",D500/100*7*3900/1000,B500="order",D500/1000)</f>
        <v>862.953</v>
      </c>
      <c r="G500" s="44" cm="1">
        <f t="array" ref="G500">_xlfn.IFS(B500="tt",E500/100*7*3900/1000,B500="order",E500/1000)</f>
        <v>0</v>
      </c>
      <c r="H500" t="str">
        <f t="shared" si="7"/>
        <v>202604</v>
      </c>
    </row>
    <row r="501" spans="1:8">
      <c r="A501" s="43">
        <v>46122</v>
      </c>
      <c r="B501" t="s">
        <v>9</v>
      </c>
      <c r="C501" t="s">
        <v>18</v>
      </c>
      <c r="D501">
        <v>0</v>
      </c>
      <c r="E501">
        <v>0</v>
      </c>
      <c r="F501" cm="1">
        <f t="array" ref="F501">_xlfn.IFS(B501="tt",D501/100*7*3900/1000,B501="order",D501/1000)</f>
        <v>0</v>
      </c>
      <c r="G501" s="44" cm="1">
        <f t="array" ref="G501">_xlfn.IFS(B501="tt",E501/100*7*3900/1000,B501="order",E501/1000)</f>
        <v>0</v>
      </c>
      <c r="H501" t="str">
        <f t="shared" si="7"/>
        <v>202604</v>
      </c>
    </row>
    <row r="502" spans="1:8">
      <c r="A502" s="43">
        <v>46122</v>
      </c>
      <c r="B502" t="s">
        <v>9</v>
      </c>
      <c r="C502" t="s">
        <v>11</v>
      </c>
      <c r="D502">
        <v>13267</v>
      </c>
      <c r="E502">
        <v>3316</v>
      </c>
      <c r="F502" cm="1">
        <f t="array" ref="F502">_xlfn.IFS(B502="tt",D502/100*7*3900/1000,B502="order",D502/1000)</f>
        <v>3621.891</v>
      </c>
      <c r="G502" s="44" cm="1">
        <f t="array" ref="G502">_xlfn.IFS(B502="tt",E502/100*7*3900/1000,B502="order",E502/1000)</f>
        <v>905.268</v>
      </c>
      <c r="H502" t="str">
        <f t="shared" si="7"/>
        <v>202604</v>
      </c>
    </row>
    <row r="503" spans="1:8">
      <c r="A503" s="43">
        <v>46122</v>
      </c>
      <c r="B503" t="s">
        <v>9</v>
      </c>
      <c r="C503" t="s">
        <v>10</v>
      </c>
      <c r="D503">
        <v>4147</v>
      </c>
      <c r="E503">
        <v>1036</v>
      </c>
      <c r="F503" cm="1">
        <f t="array" ref="F503">_xlfn.IFS(B503="tt",D503/100*7*3900/1000,B503="order",D503/1000)</f>
        <v>1132.131</v>
      </c>
      <c r="G503" s="44" cm="1">
        <f t="array" ref="G503">_xlfn.IFS(B503="tt",E503/100*7*3900/1000,B503="order",E503/1000)</f>
        <v>282.828</v>
      </c>
      <c r="H503" t="str">
        <f t="shared" si="7"/>
        <v>202604</v>
      </c>
    </row>
    <row r="504" spans="1:8">
      <c r="A504" s="43">
        <v>46123</v>
      </c>
      <c r="B504" t="s">
        <v>19</v>
      </c>
      <c r="C504" t="s">
        <v>11</v>
      </c>
      <c r="D504">
        <v>3561000</v>
      </c>
      <c r="E504">
        <v>356100</v>
      </c>
      <c r="F504" cm="1">
        <f t="array" ref="F504">_xlfn.IFS(B504="tt",D504/100*7*3900/1000,B504="order",D504/1000)</f>
        <v>3561</v>
      </c>
      <c r="G504" s="44" cm="1">
        <f t="array" ref="G504">_xlfn.IFS(B504="tt",E504/100*7*3900/1000,B504="order",E504/1000)</f>
        <v>356.1</v>
      </c>
      <c r="H504" t="str">
        <f t="shared" si="7"/>
        <v>202604</v>
      </c>
    </row>
    <row r="505" spans="1:8">
      <c r="A505" s="43">
        <v>46123</v>
      </c>
      <c r="B505" t="s">
        <v>19</v>
      </c>
      <c r="C505" t="s">
        <v>10</v>
      </c>
      <c r="D505">
        <v>244000</v>
      </c>
      <c r="E505">
        <v>61000</v>
      </c>
      <c r="F505" cm="1">
        <f t="array" ref="F505">_xlfn.IFS(B505="tt",D505/100*7*3900/1000,B505="order",D505/1000)</f>
        <v>244</v>
      </c>
      <c r="G505" s="44" cm="1">
        <f t="array" ref="G505">_xlfn.IFS(B505="tt",E505/100*7*3900/1000,B505="order",E505/1000)</f>
        <v>61</v>
      </c>
      <c r="H505" t="str">
        <f t="shared" si="7"/>
        <v>202604</v>
      </c>
    </row>
    <row r="506" spans="1:8">
      <c r="A506" s="43">
        <v>46123</v>
      </c>
      <c r="B506" t="s">
        <v>9</v>
      </c>
      <c r="C506" t="s">
        <v>23</v>
      </c>
      <c r="D506">
        <v>977</v>
      </c>
      <c r="E506">
        <v>0</v>
      </c>
      <c r="F506" cm="1">
        <f t="array" ref="F506">_xlfn.IFS(B506="tt",D506/100*7*3900/1000,B506="order",D506/1000)</f>
        <v>266.721</v>
      </c>
      <c r="G506" s="44" cm="1">
        <f t="array" ref="G506">_xlfn.IFS(B506="tt",E506/100*7*3900/1000,B506="order",E506/1000)</f>
        <v>0</v>
      </c>
      <c r="H506" t="str">
        <f t="shared" si="7"/>
        <v>202604</v>
      </c>
    </row>
    <row r="507" spans="1:8">
      <c r="A507" s="43">
        <v>46123</v>
      </c>
      <c r="B507" t="s">
        <v>9</v>
      </c>
      <c r="C507" t="s">
        <v>22</v>
      </c>
      <c r="D507">
        <v>1502</v>
      </c>
      <c r="E507">
        <v>0</v>
      </c>
      <c r="F507" cm="1">
        <f t="array" ref="F507">_xlfn.IFS(B507="tt",D507/100*7*3900/1000,B507="order",D507/1000)</f>
        <v>410.046</v>
      </c>
      <c r="G507" s="44" cm="1">
        <f t="array" ref="G507">_xlfn.IFS(B507="tt",E507/100*7*3900/1000,B507="order",E507/1000)</f>
        <v>0</v>
      </c>
      <c r="H507" t="str">
        <f t="shared" si="7"/>
        <v>202604</v>
      </c>
    </row>
    <row r="508" spans="1:8">
      <c r="A508" s="43">
        <v>46123</v>
      </c>
      <c r="B508" t="s">
        <v>9</v>
      </c>
      <c r="C508" t="s">
        <v>21</v>
      </c>
      <c r="D508">
        <v>1817</v>
      </c>
      <c r="E508">
        <v>0</v>
      </c>
      <c r="F508" cm="1">
        <f t="array" ref="F508">_xlfn.IFS(B508="tt",D508/100*7*3900/1000,B508="order",D508/1000)</f>
        <v>496.041</v>
      </c>
      <c r="G508" s="44" cm="1">
        <f t="array" ref="G508">_xlfn.IFS(B508="tt",E508/100*7*3900/1000,B508="order",E508/1000)</f>
        <v>0</v>
      </c>
      <c r="H508" t="str">
        <f t="shared" si="7"/>
        <v>202604</v>
      </c>
    </row>
    <row r="509" spans="1:8">
      <c r="A509" s="43">
        <v>46123</v>
      </c>
      <c r="B509" t="s">
        <v>9</v>
      </c>
      <c r="C509" t="s">
        <v>20</v>
      </c>
      <c r="D509">
        <v>2702</v>
      </c>
      <c r="E509">
        <v>0</v>
      </c>
      <c r="F509" cm="1">
        <f t="array" ref="F509">_xlfn.IFS(B509="tt",D509/100*7*3900/1000,B509="order",D509/1000)</f>
        <v>737.646</v>
      </c>
      <c r="G509" s="44" cm="1">
        <f t="array" ref="G509">_xlfn.IFS(B509="tt",E509/100*7*3900/1000,B509="order",E509/1000)</f>
        <v>0</v>
      </c>
      <c r="H509" t="str">
        <f t="shared" si="7"/>
        <v>202604</v>
      </c>
    </row>
    <row r="510" spans="1:8">
      <c r="A510" s="43">
        <v>46123</v>
      </c>
      <c r="B510" t="s">
        <v>9</v>
      </c>
      <c r="C510" t="s">
        <v>18</v>
      </c>
      <c r="D510">
        <v>7539</v>
      </c>
      <c r="E510">
        <v>0</v>
      </c>
      <c r="F510" cm="1">
        <f t="array" ref="F510">_xlfn.IFS(B510="tt",D510/100*7*3900/1000,B510="order",D510/1000)</f>
        <v>2058.147</v>
      </c>
      <c r="G510" s="44" cm="1">
        <f t="array" ref="G510">_xlfn.IFS(B510="tt",E510/100*7*3900/1000,B510="order",E510/1000)</f>
        <v>0</v>
      </c>
      <c r="H510" t="str">
        <f t="shared" si="7"/>
        <v>202604</v>
      </c>
    </row>
    <row r="511" spans="1:8">
      <c r="A511" s="43">
        <v>46123</v>
      </c>
      <c r="B511" t="s">
        <v>9</v>
      </c>
      <c r="C511" t="s">
        <v>11</v>
      </c>
      <c r="D511">
        <v>7661</v>
      </c>
      <c r="E511">
        <v>1915</v>
      </c>
      <c r="F511" cm="1">
        <f t="array" ref="F511">_xlfn.IFS(B511="tt",D511/100*7*3900/1000,B511="order",D511/1000)</f>
        <v>2091.453</v>
      </c>
      <c r="G511" s="44" cm="1">
        <f t="array" ref="G511">_xlfn.IFS(B511="tt",E511/100*7*3900/1000,B511="order",E511/1000)</f>
        <v>522.795</v>
      </c>
      <c r="H511" t="str">
        <f t="shared" si="7"/>
        <v>202604</v>
      </c>
    </row>
    <row r="512" spans="1:8">
      <c r="A512" s="43">
        <v>46123</v>
      </c>
      <c r="B512" t="s">
        <v>9</v>
      </c>
      <c r="C512" t="s">
        <v>10</v>
      </c>
      <c r="D512">
        <v>1401</v>
      </c>
      <c r="E512">
        <v>350</v>
      </c>
      <c r="F512" cm="1">
        <f t="array" ref="F512">_xlfn.IFS(B512="tt",D512/100*7*3900/1000,B512="order",D512/1000)</f>
        <v>382.473</v>
      </c>
      <c r="G512" s="44" cm="1">
        <f t="array" ref="G512">_xlfn.IFS(B512="tt",E512/100*7*3900/1000,B512="order",E512/1000)</f>
        <v>95.55</v>
      </c>
      <c r="H512" t="str">
        <f t="shared" si="7"/>
        <v>202604</v>
      </c>
    </row>
    <row r="513" spans="1:8">
      <c r="A513" s="43">
        <v>46124</v>
      </c>
      <c r="B513" t="s">
        <v>19</v>
      </c>
      <c r="C513" t="s">
        <v>11</v>
      </c>
      <c r="D513">
        <v>1261000</v>
      </c>
      <c r="E513">
        <v>126100</v>
      </c>
      <c r="F513" cm="1">
        <f t="array" ref="F513">_xlfn.IFS(B513="tt",D513/100*7*3900/1000,B513="order",D513/1000)</f>
        <v>1261</v>
      </c>
      <c r="G513" s="44" cm="1">
        <f t="array" ref="G513">_xlfn.IFS(B513="tt",E513/100*7*3900/1000,B513="order",E513/1000)</f>
        <v>126.1</v>
      </c>
      <c r="H513" t="str">
        <f t="shared" si="7"/>
        <v>202604</v>
      </c>
    </row>
    <row r="514" spans="1:8">
      <c r="A514" s="43">
        <v>46124</v>
      </c>
      <c r="B514" t="s">
        <v>19</v>
      </c>
      <c r="C514" t="s">
        <v>10</v>
      </c>
      <c r="D514">
        <v>594000</v>
      </c>
      <c r="E514">
        <v>148500</v>
      </c>
      <c r="F514" cm="1">
        <f t="array" ref="F514">_xlfn.IFS(B514="tt",D514/100*7*3900/1000,B514="order",D514/1000)</f>
        <v>594</v>
      </c>
      <c r="G514" s="44" cm="1">
        <f t="array" ref="G514">_xlfn.IFS(B514="tt",E514/100*7*3900/1000,B514="order",E514/1000)</f>
        <v>148.5</v>
      </c>
      <c r="H514" t="str">
        <f t="shared" si="7"/>
        <v>202604</v>
      </c>
    </row>
    <row r="515" spans="1:8">
      <c r="A515" s="43">
        <v>46124</v>
      </c>
      <c r="B515" t="s">
        <v>9</v>
      </c>
      <c r="C515" t="s">
        <v>23</v>
      </c>
      <c r="D515">
        <v>1659</v>
      </c>
      <c r="E515">
        <v>0</v>
      </c>
      <c r="F515" cm="1">
        <f t="array" ref="F515">_xlfn.IFS(B515="tt",D515/100*7*3900/1000,B515="order",D515/1000)</f>
        <v>452.907</v>
      </c>
      <c r="G515" s="44" cm="1">
        <f t="array" ref="G515">_xlfn.IFS(B515="tt",E515/100*7*3900/1000,B515="order",E515/1000)</f>
        <v>0</v>
      </c>
      <c r="H515" t="str">
        <f t="shared" ref="H515:H568" si="8">YEAR(A515)&amp;RIGHT("0"&amp;MONTH(A515),2)</f>
        <v>202604</v>
      </c>
    </row>
    <row r="516" spans="1:8">
      <c r="A516" s="43">
        <v>46124</v>
      </c>
      <c r="B516" t="s">
        <v>9</v>
      </c>
      <c r="C516" t="s">
        <v>22</v>
      </c>
      <c r="D516">
        <v>369</v>
      </c>
      <c r="E516">
        <v>0</v>
      </c>
      <c r="F516" cm="1">
        <f t="array" ref="F516">_xlfn.IFS(B516="tt",D516/100*7*3900/1000,B516="order",D516/1000)</f>
        <v>100.737</v>
      </c>
      <c r="G516" s="44" cm="1">
        <f t="array" ref="G516">_xlfn.IFS(B516="tt",E516/100*7*3900/1000,B516="order",E516/1000)</f>
        <v>0</v>
      </c>
      <c r="H516" t="str">
        <f t="shared" si="8"/>
        <v>202604</v>
      </c>
    </row>
    <row r="517" spans="1:8">
      <c r="A517" s="43">
        <v>46124</v>
      </c>
      <c r="B517" t="s">
        <v>9</v>
      </c>
      <c r="C517" t="s">
        <v>21</v>
      </c>
      <c r="D517">
        <v>2569</v>
      </c>
      <c r="E517">
        <v>0</v>
      </c>
      <c r="F517" cm="1">
        <f t="array" ref="F517">_xlfn.IFS(B517="tt",D517/100*7*3900/1000,B517="order",D517/1000)</f>
        <v>701.337</v>
      </c>
      <c r="G517" s="44" cm="1">
        <f t="array" ref="G517">_xlfn.IFS(B517="tt",E517/100*7*3900/1000,B517="order",E517/1000)</f>
        <v>0</v>
      </c>
      <c r="H517" t="str">
        <f t="shared" si="8"/>
        <v>202604</v>
      </c>
    </row>
    <row r="518" spans="1:8">
      <c r="A518" s="43">
        <v>46124</v>
      </c>
      <c r="B518" t="s">
        <v>9</v>
      </c>
      <c r="C518" t="s">
        <v>20</v>
      </c>
      <c r="D518">
        <v>2175</v>
      </c>
      <c r="E518">
        <v>0</v>
      </c>
      <c r="F518" cm="1">
        <f t="array" ref="F518">_xlfn.IFS(B518="tt",D518/100*7*3900/1000,B518="order",D518/1000)</f>
        <v>593.775</v>
      </c>
      <c r="G518" s="44" cm="1">
        <f t="array" ref="G518">_xlfn.IFS(B518="tt",E518/100*7*3900/1000,B518="order",E518/1000)</f>
        <v>0</v>
      </c>
      <c r="H518" t="str">
        <f t="shared" si="8"/>
        <v>202604</v>
      </c>
    </row>
    <row r="519" spans="1:8">
      <c r="A519" s="43">
        <v>46124</v>
      </c>
      <c r="B519" t="s">
        <v>9</v>
      </c>
      <c r="C519" t="s">
        <v>18</v>
      </c>
      <c r="D519">
        <v>5645</v>
      </c>
      <c r="E519">
        <v>0</v>
      </c>
      <c r="F519" cm="1">
        <f t="array" ref="F519">_xlfn.IFS(B519="tt",D519/100*7*3900/1000,B519="order",D519/1000)</f>
        <v>1541.085</v>
      </c>
      <c r="G519" s="44" cm="1">
        <f t="array" ref="G519">_xlfn.IFS(B519="tt",E519/100*7*3900/1000,B519="order",E519/1000)</f>
        <v>0</v>
      </c>
      <c r="H519" t="str">
        <f t="shared" si="8"/>
        <v>202604</v>
      </c>
    </row>
    <row r="520" spans="1:8">
      <c r="A520" s="43">
        <v>46124</v>
      </c>
      <c r="B520" t="s">
        <v>9</v>
      </c>
      <c r="C520" t="s">
        <v>11</v>
      </c>
      <c r="D520">
        <v>22277</v>
      </c>
      <c r="E520">
        <v>5569</v>
      </c>
      <c r="F520" cm="1">
        <f t="array" ref="F520">_xlfn.IFS(B520="tt",D520/100*7*3900/1000,B520="order",D520/1000)</f>
        <v>6081.621</v>
      </c>
      <c r="G520" s="44" cm="1">
        <f t="array" ref="G520">_xlfn.IFS(B520="tt",E520/100*7*3900/1000,B520="order",E520/1000)</f>
        <v>1520.337</v>
      </c>
      <c r="H520" t="str">
        <f t="shared" si="8"/>
        <v>202604</v>
      </c>
    </row>
    <row r="521" spans="1:8">
      <c r="A521" s="43">
        <v>46125</v>
      </c>
      <c r="B521" t="s">
        <v>19</v>
      </c>
      <c r="C521" t="s">
        <v>11</v>
      </c>
      <c r="D521">
        <v>606000</v>
      </c>
      <c r="E521">
        <v>60600</v>
      </c>
      <c r="F521" cm="1">
        <f t="array" ref="F521">_xlfn.IFS(B521="tt",D521/100*7*3900/1000,B521="order",D521/1000)</f>
        <v>606</v>
      </c>
      <c r="G521" s="44" cm="1">
        <f t="array" ref="G521">_xlfn.IFS(B521="tt",E521/100*7*3900/1000,B521="order",E521/1000)</f>
        <v>60.6</v>
      </c>
      <c r="H521" t="str">
        <f t="shared" si="8"/>
        <v>202604</v>
      </c>
    </row>
    <row r="522" spans="1:8">
      <c r="A522" s="43">
        <v>46125</v>
      </c>
      <c r="B522" t="s">
        <v>19</v>
      </c>
      <c r="C522" t="s">
        <v>10</v>
      </c>
      <c r="D522">
        <v>11109000</v>
      </c>
      <c r="E522">
        <v>2777250</v>
      </c>
      <c r="F522" cm="1">
        <f t="array" ref="F522">_xlfn.IFS(B522="tt",D522/100*7*3900/1000,B522="order",D522/1000)</f>
        <v>11109</v>
      </c>
      <c r="G522" s="44" cm="1">
        <f t="array" ref="G522">_xlfn.IFS(B522="tt",E522/100*7*3900/1000,B522="order",E522/1000)</f>
        <v>2777.25</v>
      </c>
      <c r="H522" t="str">
        <f t="shared" si="8"/>
        <v>202604</v>
      </c>
    </row>
    <row r="523" spans="1:8">
      <c r="A523" s="43">
        <v>46125</v>
      </c>
      <c r="B523" t="s">
        <v>9</v>
      </c>
      <c r="C523" t="s">
        <v>23</v>
      </c>
      <c r="D523">
        <v>995</v>
      </c>
      <c r="E523">
        <v>0</v>
      </c>
      <c r="F523" cm="1">
        <f t="array" ref="F523">_xlfn.IFS(B523="tt",D523/100*7*3900/1000,B523="order",D523/1000)</f>
        <v>271.635</v>
      </c>
      <c r="G523" s="44" cm="1">
        <f t="array" ref="G523">_xlfn.IFS(B523="tt",E523/100*7*3900/1000,B523="order",E523/1000)</f>
        <v>0</v>
      </c>
      <c r="H523" t="str">
        <f t="shared" si="8"/>
        <v>202604</v>
      </c>
    </row>
    <row r="524" spans="1:8">
      <c r="A524" s="43">
        <v>46125</v>
      </c>
      <c r="B524" t="s">
        <v>9</v>
      </c>
      <c r="C524" t="s">
        <v>22</v>
      </c>
      <c r="D524">
        <v>605</v>
      </c>
      <c r="E524">
        <v>0</v>
      </c>
      <c r="F524" cm="1">
        <f t="array" ref="F524">_xlfn.IFS(B524="tt",D524/100*7*3900/1000,B524="order",D524/1000)</f>
        <v>165.165</v>
      </c>
      <c r="G524" s="44" cm="1">
        <f t="array" ref="G524">_xlfn.IFS(B524="tt",E524/100*7*3900/1000,B524="order",E524/1000)</f>
        <v>0</v>
      </c>
      <c r="H524" t="str">
        <f t="shared" si="8"/>
        <v>202604</v>
      </c>
    </row>
    <row r="525" spans="1:8">
      <c r="A525" s="43">
        <v>46125</v>
      </c>
      <c r="B525" t="s">
        <v>9</v>
      </c>
      <c r="C525" t="s">
        <v>20</v>
      </c>
      <c r="D525">
        <v>1434</v>
      </c>
      <c r="E525">
        <v>0</v>
      </c>
      <c r="F525" cm="1">
        <f t="array" ref="F525">_xlfn.IFS(B525="tt",D525/100*7*3900/1000,B525="order",D525/1000)</f>
        <v>391.482</v>
      </c>
      <c r="G525" s="44" cm="1">
        <f t="array" ref="G525">_xlfn.IFS(B525="tt",E525/100*7*3900/1000,B525="order",E525/1000)</f>
        <v>0</v>
      </c>
      <c r="H525" t="str">
        <f t="shared" si="8"/>
        <v>202604</v>
      </c>
    </row>
    <row r="526" spans="1:8">
      <c r="A526" s="43">
        <v>46125</v>
      </c>
      <c r="B526" t="s">
        <v>9</v>
      </c>
      <c r="C526" t="s">
        <v>18</v>
      </c>
      <c r="D526">
        <v>6599</v>
      </c>
      <c r="E526">
        <v>0</v>
      </c>
      <c r="F526" cm="1">
        <f t="array" ref="F526">_xlfn.IFS(B526="tt",D526/100*7*3900/1000,B526="order",D526/1000)</f>
        <v>1801.527</v>
      </c>
      <c r="G526" s="44" cm="1">
        <f t="array" ref="G526">_xlfn.IFS(B526="tt",E526/100*7*3900/1000,B526="order",E526/1000)</f>
        <v>0</v>
      </c>
      <c r="H526" t="str">
        <f t="shared" si="8"/>
        <v>202604</v>
      </c>
    </row>
    <row r="527" spans="1:8">
      <c r="A527" s="43">
        <v>46125</v>
      </c>
      <c r="B527" t="s">
        <v>9</v>
      </c>
      <c r="C527" t="s">
        <v>11</v>
      </c>
      <c r="D527">
        <v>7825</v>
      </c>
      <c r="E527">
        <v>1956</v>
      </c>
      <c r="F527" cm="1">
        <f t="array" ref="F527">_xlfn.IFS(B527="tt",D527/100*7*3900/1000,B527="order",D527/1000)</f>
        <v>2136.225</v>
      </c>
      <c r="G527" s="44" cm="1">
        <f t="array" ref="G527">_xlfn.IFS(B527="tt",E527/100*7*3900/1000,B527="order",E527/1000)</f>
        <v>533.988</v>
      </c>
      <c r="H527" t="str">
        <f t="shared" si="8"/>
        <v>202604</v>
      </c>
    </row>
    <row r="528" spans="1:8">
      <c r="A528" s="43">
        <v>46126</v>
      </c>
      <c r="B528" t="s">
        <v>19</v>
      </c>
      <c r="C528" t="s">
        <v>11</v>
      </c>
      <c r="D528">
        <v>3178000</v>
      </c>
      <c r="E528">
        <v>317800</v>
      </c>
      <c r="F528" cm="1">
        <f t="array" ref="F528">_xlfn.IFS(B528="tt",D528/100*7*3900/1000,B528="order",D528/1000)</f>
        <v>3178</v>
      </c>
      <c r="G528" s="44" cm="1">
        <f t="array" ref="G528">_xlfn.IFS(B528="tt",E528/100*7*3900/1000,B528="order",E528/1000)</f>
        <v>317.8</v>
      </c>
      <c r="H528" t="str">
        <f t="shared" si="8"/>
        <v>202604</v>
      </c>
    </row>
    <row r="529" spans="1:8">
      <c r="A529" s="43">
        <v>46126</v>
      </c>
      <c r="B529" t="s">
        <v>19</v>
      </c>
      <c r="C529" t="s">
        <v>10</v>
      </c>
      <c r="D529">
        <v>1300000</v>
      </c>
      <c r="E529">
        <v>325000</v>
      </c>
      <c r="F529" cm="1">
        <f t="array" ref="F529">_xlfn.IFS(B529="tt",D529/100*7*3900/1000,B529="order",D529/1000)</f>
        <v>1300</v>
      </c>
      <c r="G529" s="44" cm="1">
        <f t="array" ref="G529">_xlfn.IFS(B529="tt",E529/100*7*3900/1000,B529="order",E529/1000)</f>
        <v>325</v>
      </c>
      <c r="H529" t="str">
        <f t="shared" si="8"/>
        <v>202604</v>
      </c>
    </row>
    <row r="530" spans="1:8">
      <c r="A530" s="43">
        <v>46126</v>
      </c>
      <c r="B530" t="s">
        <v>9</v>
      </c>
      <c r="C530" t="s">
        <v>23</v>
      </c>
      <c r="D530">
        <v>699</v>
      </c>
      <c r="E530">
        <v>0</v>
      </c>
      <c r="F530" cm="1">
        <f t="array" ref="F530">_xlfn.IFS(B530="tt",D530/100*7*3900/1000,B530="order",D530/1000)</f>
        <v>190.827</v>
      </c>
      <c r="G530" s="44" cm="1">
        <f t="array" ref="G530">_xlfn.IFS(B530="tt",E530/100*7*3900/1000,B530="order",E530/1000)</f>
        <v>0</v>
      </c>
      <c r="H530" t="str">
        <f t="shared" si="8"/>
        <v>202604</v>
      </c>
    </row>
    <row r="531" spans="1:8">
      <c r="A531" s="43">
        <v>46126</v>
      </c>
      <c r="B531" t="s">
        <v>9</v>
      </c>
      <c r="C531" t="s">
        <v>21</v>
      </c>
      <c r="D531">
        <v>1286</v>
      </c>
      <c r="E531">
        <v>0</v>
      </c>
      <c r="F531" cm="1">
        <f t="array" ref="F531">_xlfn.IFS(B531="tt",D531/100*7*3900/1000,B531="order",D531/1000)</f>
        <v>351.078</v>
      </c>
      <c r="G531" s="44" cm="1">
        <f t="array" ref="G531">_xlfn.IFS(B531="tt",E531/100*7*3900/1000,B531="order",E531/1000)</f>
        <v>0</v>
      </c>
      <c r="H531" t="str">
        <f t="shared" si="8"/>
        <v>202604</v>
      </c>
    </row>
    <row r="532" spans="1:8">
      <c r="A532" s="43">
        <v>46126</v>
      </c>
      <c r="B532" t="s">
        <v>9</v>
      </c>
      <c r="C532" t="s">
        <v>20</v>
      </c>
      <c r="D532">
        <v>1545</v>
      </c>
      <c r="E532">
        <v>0</v>
      </c>
      <c r="F532" cm="1">
        <f t="array" ref="F532">_xlfn.IFS(B532="tt",D532/100*7*3900/1000,B532="order",D532/1000)</f>
        <v>421.785</v>
      </c>
      <c r="G532" s="44" cm="1">
        <f t="array" ref="G532">_xlfn.IFS(B532="tt",E532/100*7*3900/1000,B532="order",E532/1000)</f>
        <v>0</v>
      </c>
      <c r="H532" t="str">
        <f t="shared" si="8"/>
        <v>202604</v>
      </c>
    </row>
    <row r="533" spans="1:8">
      <c r="A533" s="43">
        <v>46126</v>
      </c>
      <c r="B533" t="s">
        <v>9</v>
      </c>
      <c r="C533" t="s">
        <v>18</v>
      </c>
      <c r="D533">
        <v>8893</v>
      </c>
      <c r="E533">
        <v>0</v>
      </c>
      <c r="F533" cm="1">
        <f t="array" ref="F533">_xlfn.IFS(B533="tt",D533/100*7*3900/1000,B533="order",D533/1000)</f>
        <v>2427.789</v>
      </c>
      <c r="G533" s="44" cm="1">
        <f t="array" ref="G533">_xlfn.IFS(B533="tt",E533/100*7*3900/1000,B533="order",E533/1000)</f>
        <v>0</v>
      </c>
      <c r="H533" t="str">
        <f t="shared" si="8"/>
        <v>202604</v>
      </c>
    </row>
    <row r="534" spans="1:8">
      <c r="A534" s="43">
        <v>46126</v>
      </c>
      <c r="B534" t="s">
        <v>9</v>
      </c>
      <c r="C534" t="s">
        <v>11</v>
      </c>
      <c r="D534">
        <v>15581</v>
      </c>
      <c r="E534">
        <v>3895</v>
      </c>
      <c r="F534" cm="1">
        <f t="array" ref="F534">_xlfn.IFS(B534="tt",D534/100*7*3900/1000,B534="order",D534/1000)</f>
        <v>4253.613</v>
      </c>
      <c r="G534" s="44" cm="1">
        <f t="array" ref="G534">_xlfn.IFS(B534="tt",E534/100*7*3900/1000,B534="order",E534/1000)</f>
        <v>1063.335</v>
      </c>
      <c r="H534" t="str">
        <f t="shared" si="8"/>
        <v>202604</v>
      </c>
    </row>
    <row r="535" spans="1:8">
      <c r="A535" s="43">
        <v>46127</v>
      </c>
      <c r="B535" t="s">
        <v>19</v>
      </c>
      <c r="C535" t="s">
        <v>11</v>
      </c>
      <c r="D535">
        <v>2455000</v>
      </c>
      <c r="E535">
        <v>245500</v>
      </c>
      <c r="F535" cm="1">
        <f t="array" ref="F535">_xlfn.IFS(B535="tt",D535/100*7*3900/1000,B535="order",D535/1000)</f>
        <v>2455</v>
      </c>
      <c r="G535" s="44" cm="1">
        <f t="array" ref="G535">_xlfn.IFS(B535="tt",E535/100*7*3900/1000,B535="order",E535/1000)</f>
        <v>245.5</v>
      </c>
      <c r="H535" t="str">
        <f t="shared" si="8"/>
        <v>202604</v>
      </c>
    </row>
    <row r="536" spans="1:8">
      <c r="A536" s="43">
        <v>46127</v>
      </c>
      <c r="B536" t="s">
        <v>19</v>
      </c>
      <c r="C536" t="s">
        <v>10</v>
      </c>
      <c r="D536">
        <v>1566000</v>
      </c>
      <c r="E536">
        <v>391500</v>
      </c>
      <c r="F536" cm="1">
        <f t="array" ref="F536">_xlfn.IFS(B536="tt",D536/100*7*3900/1000,B536="order",D536/1000)</f>
        <v>1566</v>
      </c>
      <c r="G536" s="44" cm="1">
        <f t="array" ref="G536">_xlfn.IFS(B536="tt",E536/100*7*3900/1000,B536="order",E536/1000)</f>
        <v>391.5</v>
      </c>
      <c r="H536" t="str">
        <f t="shared" si="8"/>
        <v>202604</v>
      </c>
    </row>
    <row r="537" spans="1:8">
      <c r="A537" s="43">
        <v>46127</v>
      </c>
      <c r="B537" t="s">
        <v>9</v>
      </c>
      <c r="C537" t="s">
        <v>23</v>
      </c>
      <c r="D537">
        <v>270</v>
      </c>
      <c r="E537">
        <v>0</v>
      </c>
      <c r="F537" cm="1">
        <f t="array" ref="F537">_xlfn.IFS(B537="tt",D537/100*7*3900/1000,B537="order",D537/1000)</f>
        <v>73.71</v>
      </c>
      <c r="G537" s="44" cm="1">
        <f t="array" ref="G537">_xlfn.IFS(B537="tt",E537/100*7*3900/1000,B537="order",E537/1000)</f>
        <v>0</v>
      </c>
      <c r="H537" t="str">
        <f t="shared" si="8"/>
        <v>202604</v>
      </c>
    </row>
    <row r="538" spans="1:8">
      <c r="A538" s="43">
        <v>46127</v>
      </c>
      <c r="B538" t="s">
        <v>9</v>
      </c>
      <c r="C538" t="s">
        <v>22</v>
      </c>
      <c r="D538">
        <v>231</v>
      </c>
      <c r="E538">
        <v>0</v>
      </c>
      <c r="F538" cm="1">
        <f t="array" ref="F538">_xlfn.IFS(B538="tt",D538/100*7*3900/1000,B538="order",D538/1000)</f>
        <v>63.063</v>
      </c>
      <c r="G538" s="44" cm="1">
        <f t="array" ref="G538">_xlfn.IFS(B538="tt",E538/100*7*3900/1000,B538="order",E538/1000)</f>
        <v>0</v>
      </c>
      <c r="H538" t="str">
        <f t="shared" si="8"/>
        <v>202604</v>
      </c>
    </row>
    <row r="539" spans="1:8">
      <c r="A539" s="43">
        <v>46127</v>
      </c>
      <c r="B539" t="s">
        <v>9</v>
      </c>
      <c r="C539" t="s">
        <v>21</v>
      </c>
      <c r="D539">
        <v>898</v>
      </c>
      <c r="E539">
        <v>0</v>
      </c>
      <c r="F539" cm="1">
        <f t="array" ref="F539">_xlfn.IFS(B539="tt",D539/100*7*3900/1000,B539="order",D539/1000)</f>
        <v>245.154</v>
      </c>
      <c r="G539" s="44" cm="1">
        <f t="array" ref="G539">_xlfn.IFS(B539="tt",E539/100*7*3900/1000,B539="order",E539/1000)</f>
        <v>0</v>
      </c>
      <c r="H539" t="str">
        <f t="shared" si="8"/>
        <v>202604</v>
      </c>
    </row>
    <row r="540" spans="1:8">
      <c r="A540" s="43">
        <v>46127</v>
      </c>
      <c r="B540" t="s">
        <v>9</v>
      </c>
      <c r="C540" t="s">
        <v>20</v>
      </c>
      <c r="D540">
        <v>1710</v>
      </c>
      <c r="E540">
        <v>0</v>
      </c>
      <c r="F540" cm="1">
        <f t="array" ref="F540">_xlfn.IFS(B540="tt",D540/100*7*3900/1000,B540="order",D540/1000)</f>
        <v>466.83</v>
      </c>
      <c r="G540" s="44" cm="1">
        <f t="array" ref="G540">_xlfn.IFS(B540="tt",E540/100*7*3900/1000,B540="order",E540/1000)</f>
        <v>0</v>
      </c>
      <c r="H540" t="str">
        <f t="shared" si="8"/>
        <v>202604</v>
      </c>
    </row>
    <row r="541" spans="1:8">
      <c r="A541" s="43">
        <v>46127</v>
      </c>
      <c r="B541" t="s">
        <v>9</v>
      </c>
      <c r="C541" t="s">
        <v>18</v>
      </c>
      <c r="D541">
        <v>11042</v>
      </c>
      <c r="E541">
        <v>0</v>
      </c>
      <c r="F541" cm="1">
        <f t="array" ref="F541">_xlfn.IFS(B541="tt",D541/100*7*3900/1000,B541="order",D541/1000)</f>
        <v>3014.466</v>
      </c>
      <c r="G541" s="44" cm="1">
        <f t="array" ref="G541">_xlfn.IFS(B541="tt",E541/100*7*3900/1000,B541="order",E541/1000)</f>
        <v>0</v>
      </c>
      <c r="H541" t="str">
        <f t="shared" si="8"/>
        <v>202604</v>
      </c>
    </row>
    <row r="542" spans="1:8">
      <c r="A542" s="43">
        <v>46127</v>
      </c>
      <c r="B542" t="s">
        <v>9</v>
      </c>
      <c r="C542" t="s">
        <v>11</v>
      </c>
      <c r="D542">
        <v>20731</v>
      </c>
      <c r="E542">
        <v>5182</v>
      </c>
      <c r="F542" cm="1">
        <f t="array" ref="F542">_xlfn.IFS(B542="tt",D542/100*7*3900/1000,B542="order",D542/1000)</f>
        <v>5659.563</v>
      </c>
      <c r="G542" s="44" cm="1">
        <f t="array" ref="G542">_xlfn.IFS(B542="tt",E542/100*7*3900/1000,B542="order",E542/1000)</f>
        <v>1414.686</v>
      </c>
      <c r="H542" t="str">
        <f t="shared" si="8"/>
        <v>202604</v>
      </c>
    </row>
    <row r="543" spans="1:8">
      <c r="A543" s="43">
        <v>46127</v>
      </c>
      <c r="B543" t="s">
        <v>9</v>
      </c>
      <c r="C543" t="s">
        <v>10</v>
      </c>
      <c r="D543">
        <v>1941</v>
      </c>
      <c r="E543">
        <v>485</v>
      </c>
      <c r="F543" cm="1">
        <f t="array" ref="F543">_xlfn.IFS(B543="tt",D543/100*7*3900/1000,B543="order",D543/1000)</f>
        <v>529.893</v>
      </c>
      <c r="G543" s="44" cm="1">
        <f t="array" ref="G543">_xlfn.IFS(B543="tt",E543/100*7*3900/1000,B543="order",E543/1000)</f>
        <v>132.405</v>
      </c>
      <c r="H543" t="str">
        <f t="shared" si="8"/>
        <v>202604</v>
      </c>
    </row>
    <row r="544" spans="1:8">
      <c r="A544" s="43">
        <v>46128</v>
      </c>
      <c r="B544" t="s">
        <v>19</v>
      </c>
      <c r="C544" t="s">
        <v>11</v>
      </c>
      <c r="D544">
        <v>3784000</v>
      </c>
      <c r="E544">
        <v>378400</v>
      </c>
      <c r="F544" cm="1">
        <f t="array" ref="F544">_xlfn.IFS(B544="tt",D544/100*7*3900/1000,B544="order",D544/1000)</f>
        <v>3784</v>
      </c>
      <c r="G544" s="44" cm="1">
        <f t="array" ref="G544">_xlfn.IFS(B544="tt",E544/100*7*3900/1000,B544="order",E544/1000)</f>
        <v>378.4</v>
      </c>
      <c r="H544" t="str">
        <f t="shared" si="8"/>
        <v>202604</v>
      </c>
    </row>
    <row r="545" spans="1:8">
      <c r="A545" s="43">
        <v>46128</v>
      </c>
      <c r="B545" t="s">
        <v>19</v>
      </c>
      <c r="C545" t="s">
        <v>10</v>
      </c>
      <c r="D545">
        <v>1544000</v>
      </c>
      <c r="E545">
        <v>386000</v>
      </c>
      <c r="F545" cm="1">
        <f t="array" ref="F545">_xlfn.IFS(B545="tt",D545/100*7*3900/1000,B545="order",D545/1000)</f>
        <v>1544</v>
      </c>
      <c r="G545" s="44" cm="1">
        <f t="array" ref="G545">_xlfn.IFS(B545="tt",E545/100*7*3900/1000,B545="order",E545/1000)</f>
        <v>386</v>
      </c>
      <c r="H545" t="str">
        <f t="shared" si="8"/>
        <v>202604</v>
      </c>
    </row>
    <row r="546" spans="1:8">
      <c r="A546" s="43">
        <v>46128</v>
      </c>
      <c r="B546" t="s">
        <v>9</v>
      </c>
      <c r="C546" t="s">
        <v>23</v>
      </c>
      <c r="D546">
        <v>639</v>
      </c>
      <c r="E546">
        <v>0</v>
      </c>
      <c r="F546" cm="1">
        <f t="array" ref="F546">_xlfn.IFS(B546="tt",D546/100*7*3900/1000,B546="order",D546/1000)</f>
        <v>174.447</v>
      </c>
      <c r="G546" s="44" cm="1">
        <f t="array" ref="G546">_xlfn.IFS(B546="tt",E546/100*7*3900/1000,B546="order",E546/1000)</f>
        <v>0</v>
      </c>
      <c r="H546" t="str">
        <f t="shared" si="8"/>
        <v>202604</v>
      </c>
    </row>
    <row r="547" spans="1:8">
      <c r="A547" s="43">
        <v>46128</v>
      </c>
      <c r="B547" t="s">
        <v>9</v>
      </c>
      <c r="C547" t="s">
        <v>22</v>
      </c>
      <c r="D547">
        <v>700</v>
      </c>
      <c r="E547">
        <v>0</v>
      </c>
      <c r="F547" cm="1">
        <f t="array" ref="F547">_xlfn.IFS(B547="tt",D547/100*7*3900/1000,B547="order",D547/1000)</f>
        <v>191.1</v>
      </c>
      <c r="G547" s="44" cm="1">
        <f t="array" ref="G547">_xlfn.IFS(B547="tt",E547/100*7*3900/1000,B547="order",E547/1000)</f>
        <v>0</v>
      </c>
      <c r="H547" t="str">
        <f t="shared" si="8"/>
        <v>202604</v>
      </c>
    </row>
    <row r="548" spans="1:8">
      <c r="A548" s="43">
        <v>46128</v>
      </c>
      <c r="B548" t="s">
        <v>9</v>
      </c>
      <c r="C548" t="s">
        <v>21</v>
      </c>
      <c r="D548">
        <v>1290</v>
      </c>
      <c r="E548">
        <v>0</v>
      </c>
      <c r="F548" cm="1">
        <f t="array" ref="F548">_xlfn.IFS(B548="tt",D548/100*7*3900/1000,B548="order",D548/1000)</f>
        <v>352.17</v>
      </c>
      <c r="G548" s="44" cm="1">
        <f t="array" ref="G548">_xlfn.IFS(B548="tt",E548/100*7*3900/1000,B548="order",E548/1000)</f>
        <v>0</v>
      </c>
      <c r="H548" t="str">
        <f t="shared" si="8"/>
        <v>202604</v>
      </c>
    </row>
    <row r="549" spans="1:8">
      <c r="A549" s="43">
        <v>46128</v>
      </c>
      <c r="B549" t="s">
        <v>9</v>
      </c>
      <c r="C549" t="s">
        <v>18</v>
      </c>
      <c r="D549">
        <v>32049</v>
      </c>
      <c r="E549">
        <v>0</v>
      </c>
      <c r="F549" cm="1">
        <f t="array" ref="F549">_xlfn.IFS(B549="tt",D549/100*7*3900/1000,B549="order",D549/1000)</f>
        <v>8749.377</v>
      </c>
      <c r="G549" s="44" cm="1">
        <f t="array" ref="G549">_xlfn.IFS(B549="tt",E549/100*7*3900/1000,B549="order",E549/1000)</f>
        <v>0</v>
      </c>
      <c r="H549" t="str">
        <f t="shared" si="8"/>
        <v>202604</v>
      </c>
    </row>
    <row r="550" spans="1:8">
      <c r="A550" s="43">
        <v>46128</v>
      </c>
      <c r="B550" t="s">
        <v>9</v>
      </c>
      <c r="C550" t="s">
        <v>11</v>
      </c>
      <c r="D550">
        <v>18207</v>
      </c>
      <c r="E550">
        <v>4551</v>
      </c>
      <c r="F550" cm="1">
        <f t="array" ref="F550">_xlfn.IFS(B550="tt",D550/100*7*3900/1000,B550="order",D550/1000)</f>
        <v>4970.511</v>
      </c>
      <c r="G550" s="44" cm="1">
        <f t="array" ref="G550">_xlfn.IFS(B550="tt",E550/100*7*3900/1000,B550="order",E550/1000)</f>
        <v>1242.423</v>
      </c>
      <c r="H550" t="str">
        <f t="shared" si="8"/>
        <v>202604</v>
      </c>
    </row>
    <row r="551" spans="1:8">
      <c r="A551" s="43">
        <v>46128</v>
      </c>
      <c r="B551" t="s">
        <v>9</v>
      </c>
      <c r="C551" t="s">
        <v>10</v>
      </c>
      <c r="D551">
        <v>3792</v>
      </c>
      <c r="E551">
        <v>948</v>
      </c>
      <c r="F551" cm="1">
        <f t="array" ref="F551">_xlfn.IFS(B551="tt",D551/100*7*3900/1000,B551="order",D551/1000)</f>
        <v>1035.216</v>
      </c>
      <c r="G551" s="44" cm="1">
        <f t="array" ref="G551">_xlfn.IFS(B551="tt",E551/100*7*3900/1000,B551="order",E551/1000)</f>
        <v>258.804</v>
      </c>
      <c r="H551" t="str">
        <f t="shared" si="8"/>
        <v>202604</v>
      </c>
    </row>
    <row r="552" spans="1:8">
      <c r="A552" s="43">
        <v>46129</v>
      </c>
      <c r="B552" t="s">
        <v>19</v>
      </c>
      <c r="C552" t="s">
        <v>11</v>
      </c>
      <c r="D552">
        <v>2307000</v>
      </c>
      <c r="E552">
        <v>230700</v>
      </c>
      <c r="F552" cm="1">
        <f t="array" ref="F552">_xlfn.IFS(B552="tt",D552/100*7*3900/1000,B552="order",D552/1000)</f>
        <v>2307</v>
      </c>
      <c r="G552" s="44" cm="1">
        <f t="array" ref="G552">_xlfn.IFS(B552="tt",E552/100*7*3900/1000,B552="order",E552/1000)</f>
        <v>230.7</v>
      </c>
      <c r="H552" t="str">
        <f t="shared" si="8"/>
        <v>202604</v>
      </c>
    </row>
    <row r="553" spans="1:8">
      <c r="A553" s="43">
        <v>46129</v>
      </c>
      <c r="B553" t="s">
        <v>19</v>
      </c>
      <c r="C553" t="s">
        <v>10</v>
      </c>
      <c r="D553">
        <v>1550000</v>
      </c>
      <c r="E553">
        <v>387500</v>
      </c>
      <c r="F553" cm="1">
        <f t="array" ref="F553">_xlfn.IFS(B553="tt",D553/100*7*3900/1000,B553="order",D553/1000)</f>
        <v>1550</v>
      </c>
      <c r="G553" s="44" cm="1">
        <f t="array" ref="G553">_xlfn.IFS(B553="tt",E553/100*7*3900/1000,B553="order",E553/1000)</f>
        <v>387.5</v>
      </c>
      <c r="H553" t="str">
        <f t="shared" si="8"/>
        <v>202604</v>
      </c>
    </row>
    <row r="554" spans="1:8">
      <c r="A554" s="43">
        <v>46129</v>
      </c>
      <c r="B554" t="s">
        <v>9</v>
      </c>
      <c r="C554" t="s">
        <v>23</v>
      </c>
      <c r="D554">
        <v>314</v>
      </c>
      <c r="E554">
        <v>0</v>
      </c>
      <c r="F554" cm="1">
        <f t="array" ref="F554">_xlfn.IFS(B554="tt",D554/100*7*3900/1000,B554="order",D554/1000)</f>
        <v>85.722</v>
      </c>
      <c r="G554" s="44" cm="1">
        <f t="array" ref="G554">_xlfn.IFS(B554="tt",E554/100*7*3900/1000,B554="order",E554/1000)</f>
        <v>0</v>
      </c>
      <c r="H554" t="str">
        <f t="shared" si="8"/>
        <v>202604</v>
      </c>
    </row>
    <row r="555" spans="1:8">
      <c r="A555" s="43">
        <v>46129</v>
      </c>
      <c r="B555" t="s">
        <v>9</v>
      </c>
      <c r="C555" t="s">
        <v>22</v>
      </c>
      <c r="D555">
        <v>580</v>
      </c>
      <c r="E555">
        <v>0</v>
      </c>
      <c r="F555" cm="1">
        <f t="array" ref="F555">_xlfn.IFS(B555="tt",D555/100*7*3900/1000,B555="order",D555/1000)</f>
        <v>158.34</v>
      </c>
      <c r="G555" s="44" cm="1">
        <f t="array" ref="G555">_xlfn.IFS(B555="tt",E555/100*7*3900/1000,B555="order",E555/1000)</f>
        <v>0</v>
      </c>
      <c r="H555" t="str">
        <f t="shared" si="8"/>
        <v>202604</v>
      </c>
    </row>
    <row r="556" spans="1:8">
      <c r="A556" s="43">
        <v>46129</v>
      </c>
      <c r="B556" t="s">
        <v>9</v>
      </c>
      <c r="C556" t="s">
        <v>21</v>
      </c>
      <c r="D556">
        <v>1796</v>
      </c>
      <c r="E556">
        <v>0</v>
      </c>
      <c r="F556" cm="1">
        <f t="array" ref="F556">_xlfn.IFS(B556="tt",D556/100*7*3900/1000,B556="order",D556/1000)</f>
        <v>490.308</v>
      </c>
      <c r="G556" s="44" cm="1">
        <f t="array" ref="G556">_xlfn.IFS(B556="tt",E556/100*7*3900/1000,B556="order",E556/1000)</f>
        <v>0</v>
      </c>
      <c r="H556" t="str">
        <f t="shared" si="8"/>
        <v>202604</v>
      </c>
    </row>
    <row r="557" spans="1:8">
      <c r="A557" s="43">
        <v>46129</v>
      </c>
      <c r="B557" t="s">
        <v>9</v>
      </c>
      <c r="C557" t="s">
        <v>20</v>
      </c>
      <c r="D557">
        <v>1721</v>
      </c>
      <c r="E557">
        <v>0</v>
      </c>
      <c r="F557" cm="1">
        <f t="array" ref="F557">_xlfn.IFS(B557="tt",D557/100*7*3900/1000,B557="order",D557/1000)</f>
        <v>469.833</v>
      </c>
      <c r="G557" s="44" cm="1">
        <f t="array" ref="G557">_xlfn.IFS(B557="tt",E557/100*7*3900/1000,B557="order",E557/1000)</f>
        <v>0</v>
      </c>
      <c r="H557" t="str">
        <f t="shared" si="8"/>
        <v>202604</v>
      </c>
    </row>
    <row r="558" spans="1:8">
      <c r="A558" s="43">
        <v>46129</v>
      </c>
      <c r="B558" t="s">
        <v>9</v>
      </c>
      <c r="C558" t="s">
        <v>11</v>
      </c>
      <c r="D558">
        <v>44702</v>
      </c>
      <c r="E558">
        <v>11175</v>
      </c>
      <c r="F558" cm="1">
        <f t="array" ref="F558">_xlfn.IFS(B558="tt",D558/100*7*3900/1000,B558="order",D558/1000)</f>
        <v>12203.646</v>
      </c>
      <c r="G558" s="44" cm="1">
        <f t="array" ref="G558">_xlfn.IFS(B558="tt",E558/100*7*3900/1000,B558="order",E558/1000)</f>
        <v>3050.775</v>
      </c>
      <c r="H558" t="str">
        <f t="shared" si="8"/>
        <v>202604</v>
      </c>
    </row>
    <row r="559" spans="1:8">
      <c r="A559" s="43">
        <v>46129</v>
      </c>
      <c r="B559" t="s">
        <v>9</v>
      </c>
      <c r="C559" t="s">
        <v>10</v>
      </c>
      <c r="D559">
        <v>1217</v>
      </c>
      <c r="E559">
        <v>304</v>
      </c>
      <c r="F559" cm="1">
        <f t="array" ref="F559">_xlfn.IFS(B559="tt",D559/100*7*3900/1000,B559="order",D559/1000)</f>
        <v>332.241</v>
      </c>
      <c r="G559" s="44" cm="1">
        <f t="array" ref="G559">_xlfn.IFS(B559="tt",E559/100*7*3900/1000,B559="order",E559/1000)</f>
        <v>82.992</v>
      </c>
      <c r="H559" t="str">
        <f t="shared" si="8"/>
        <v>202604</v>
      </c>
    </row>
    <row r="560" spans="1:8">
      <c r="A560" s="43">
        <v>46130</v>
      </c>
      <c r="B560" t="s">
        <v>9</v>
      </c>
      <c r="C560" t="s">
        <v>23</v>
      </c>
      <c r="D560">
        <v>361</v>
      </c>
      <c r="E560">
        <v>0</v>
      </c>
      <c r="F560" cm="1">
        <f t="array" ref="F560">_xlfn.IFS(B560="tt",D560/100*7*3900/1000,B560="order",D560/1000)</f>
        <v>98.553</v>
      </c>
      <c r="G560" s="44" cm="1">
        <f t="array" ref="G560">_xlfn.IFS(B560="tt",E560/100*7*3900/1000,B560="order",E560/1000)</f>
        <v>0</v>
      </c>
      <c r="H560" t="str">
        <f t="shared" si="8"/>
        <v>202604</v>
      </c>
    </row>
    <row r="561" spans="1:8">
      <c r="A561" s="43">
        <v>46130</v>
      </c>
      <c r="B561" t="s">
        <v>9</v>
      </c>
      <c r="C561" t="s">
        <v>22</v>
      </c>
      <c r="D561">
        <v>147</v>
      </c>
      <c r="E561">
        <v>0</v>
      </c>
      <c r="F561" cm="1">
        <f t="array" ref="F561">_xlfn.IFS(B561="tt",D561/100*7*3900/1000,B561="order",D561/1000)</f>
        <v>40.131</v>
      </c>
      <c r="G561" s="44" cm="1">
        <f t="array" ref="G561">_xlfn.IFS(B561="tt",E561/100*7*3900/1000,B561="order",E561/1000)</f>
        <v>0</v>
      </c>
      <c r="H561" t="str">
        <f t="shared" si="8"/>
        <v>202604</v>
      </c>
    </row>
    <row r="562" spans="1:8">
      <c r="A562" s="43">
        <v>46130</v>
      </c>
      <c r="B562" t="s">
        <v>9</v>
      </c>
      <c r="C562" t="s">
        <v>21</v>
      </c>
      <c r="D562">
        <v>275</v>
      </c>
      <c r="E562">
        <v>0</v>
      </c>
      <c r="F562" cm="1">
        <f t="array" ref="F562">_xlfn.IFS(B562="tt",D562/100*7*3900/1000,B562="order",D562/1000)</f>
        <v>75.075</v>
      </c>
      <c r="G562" s="44" cm="1">
        <f t="array" ref="G562">_xlfn.IFS(B562="tt",E562/100*7*3900/1000,B562="order",E562/1000)</f>
        <v>0</v>
      </c>
      <c r="H562" t="str">
        <f t="shared" si="8"/>
        <v>202604</v>
      </c>
    </row>
    <row r="563" spans="1:8">
      <c r="A563" s="43">
        <v>46130</v>
      </c>
      <c r="B563" t="s">
        <v>9</v>
      </c>
      <c r="C563" t="s">
        <v>20</v>
      </c>
      <c r="D563">
        <v>1266</v>
      </c>
      <c r="E563">
        <v>0</v>
      </c>
      <c r="F563" cm="1">
        <f t="array" ref="F563">_xlfn.IFS(B563="tt",D563/100*7*3900/1000,B563="order",D563/1000)</f>
        <v>345.618</v>
      </c>
      <c r="G563" s="44" cm="1">
        <f t="array" ref="G563">_xlfn.IFS(B563="tt",E563/100*7*3900/1000,B563="order",E563/1000)</f>
        <v>0</v>
      </c>
      <c r="H563" t="str">
        <f t="shared" si="8"/>
        <v>202604</v>
      </c>
    </row>
    <row r="564" spans="1:8">
      <c r="A564" s="43">
        <v>46130</v>
      </c>
      <c r="B564" t="s">
        <v>9</v>
      </c>
      <c r="C564" t="s">
        <v>18</v>
      </c>
      <c r="D564">
        <v>13468</v>
      </c>
      <c r="E564">
        <v>0</v>
      </c>
      <c r="F564" cm="1">
        <f t="array" ref="F564">_xlfn.IFS(B564="tt",D564/100*7*3900/1000,B564="order",D564/1000)</f>
        <v>3676.764</v>
      </c>
      <c r="G564" s="44" cm="1">
        <f t="array" ref="G564">_xlfn.IFS(B564="tt",E564/100*7*3900/1000,B564="order",E564/1000)</f>
        <v>0</v>
      </c>
      <c r="H564" t="str">
        <f t="shared" si="8"/>
        <v>202604</v>
      </c>
    </row>
    <row r="565" spans="1:8">
      <c r="A565" s="43">
        <v>46130</v>
      </c>
      <c r="B565" t="s">
        <v>9</v>
      </c>
      <c r="C565" t="s">
        <v>11</v>
      </c>
      <c r="D565">
        <v>23825</v>
      </c>
      <c r="E565">
        <v>5956</v>
      </c>
      <c r="F565" cm="1">
        <f t="array" ref="F565">_xlfn.IFS(B565="tt",D565/100*7*3900/1000,B565="order",D565/1000)</f>
        <v>6504.225</v>
      </c>
      <c r="G565" s="44" cm="1">
        <f t="array" ref="G565">_xlfn.IFS(B565="tt",E565/100*7*3900/1000,B565="order",E565/1000)</f>
        <v>1625.988</v>
      </c>
      <c r="H565" t="str">
        <f t="shared" si="8"/>
        <v>202604</v>
      </c>
    </row>
    <row r="566" spans="1:8">
      <c r="A566" s="43">
        <v>46130</v>
      </c>
      <c r="B566" t="s">
        <v>9</v>
      </c>
      <c r="C566" t="s">
        <v>10</v>
      </c>
      <c r="D566">
        <v>1952</v>
      </c>
      <c r="E566">
        <v>488</v>
      </c>
      <c r="F566" cm="1">
        <f t="array" ref="F566">_xlfn.IFS(B566="tt",D566/100*7*3900/1000,B566="order",D566/1000)</f>
        <v>532.896</v>
      </c>
      <c r="G566" s="44" cm="1">
        <f t="array" ref="G566">_xlfn.IFS(B566="tt",E566/100*7*3900/1000,B566="order",E566/1000)</f>
        <v>133.224</v>
      </c>
      <c r="H566" t="str">
        <f t="shared" si="8"/>
        <v>202604</v>
      </c>
    </row>
    <row r="567" spans="1:8">
      <c r="A567" s="43">
        <v>46130</v>
      </c>
      <c r="B567" t="s">
        <v>19</v>
      </c>
      <c r="C567" t="s">
        <v>11</v>
      </c>
      <c r="D567">
        <v>1695000</v>
      </c>
      <c r="E567">
        <v>169500</v>
      </c>
      <c r="F567" cm="1">
        <f t="array" ref="F567">_xlfn.IFS(B567="tt",D567/100*7*3900/1000,B567="order",D567/1000)</f>
        <v>1695</v>
      </c>
      <c r="G567" s="44" cm="1">
        <f t="array" ref="G567">_xlfn.IFS(B567="tt",E567/100*7*3900/1000,B567="order",E567/1000)</f>
        <v>169.5</v>
      </c>
      <c r="H567" t="str">
        <f t="shared" si="8"/>
        <v>202604</v>
      </c>
    </row>
    <row r="568" spans="1:8">
      <c r="A568" s="43">
        <v>46130</v>
      </c>
      <c r="B568" t="s">
        <v>19</v>
      </c>
      <c r="C568" t="s">
        <v>10</v>
      </c>
      <c r="D568">
        <v>450000</v>
      </c>
      <c r="E568">
        <v>112500</v>
      </c>
      <c r="F568" cm="1">
        <f t="array" ref="F568">_xlfn.IFS(B568="tt",D568/100*7*3900/1000,B568="order",D568/1000)</f>
        <v>450</v>
      </c>
      <c r="G568" s="44" cm="1">
        <f t="array" ref="G568">_xlfn.IFS(B568="tt",E568/100*7*3900/1000,B568="order",E568/1000)</f>
        <v>112.5</v>
      </c>
      <c r="H568" t="str">
        <f t="shared" si="8"/>
        <v>202604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58"/>
  <sheetViews>
    <sheetView tabSelected="1" topLeftCell="G1" workbookViewId="0">
      <selection activeCell="M4" sqref="M4:T142"/>
    </sheetView>
  </sheetViews>
  <sheetFormatPr defaultColWidth="8.8" defaultRowHeight="13"/>
  <cols>
    <col min="1" max="1" width="7.7" style="1" customWidth="1"/>
    <col min="2" max="2" width="12.5" style="1" customWidth="1"/>
    <col min="3" max="3" width="5.9" style="1" customWidth="1"/>
    <col min="4" max="4" width="12" style="1" customWidth="1"/>
    <col min="5" max="5" width="8" style="1" customWidth="1"/>
    <col min="6" max="6" width="19.7" style="1" customWidth="1"/>
    <col min="7" max="7" width="5.9" style="1" customWidth="1"/>
    <col min="8" max="9" width="10.1" style="1" customWidth="1"/>
    <col min="10" max="10" width="14.9" style="1" customWidth="1"/>
    <col min="11" max="12" width="8.8" style="1"/>
    <col min="13" max="13" width="18.5" style="1"/>
    <col min="14" max="14" width="7.9" style="1"/>
    <col min="15" max="15" width="7.7" style="1"/>
    <col min="16" max="19" width="6.7" style="1"/>
    <col min="20" max="20" width="5.7" style="1"/>
    <col min="21" max="21" width="7.7" style="1"/>
    <col min="22" max="16384" width="8.8" style="1"/>
  </cols>
  <sheetData>
    <row r="1" spans="1:21">
      <c r="A1" s="1" t="s">
        <v>24</v>
      </c>
      <c r="B1" s="1" t="s">
        <v>25</v>
      </c>
      <c r="M1"/>
      <c r="N1"/>
    </row>
    <row r="3" spans="1:21">
      <c r="A3" s="2" t="s">
        <v>26</v>
      </c>
      <c r="B3" s="2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M3" t="s">
        <v>36</v>
      </c>
      <c r="N3" t="s">
        <v>26</v>
      </c>
      <c r="O3"/>
      <c r="P3"/>
      <c r="Q3"/>
      <c r="R3"/>
      <c r="S3"/>
      <c r="T3"/>
      <c r="U3"/>
    </row>
    <row r="4" spans="1:21">
      <c r="A4" s="1" t="s">
        <v>10</v>
      </c>
      <c r="B4" s="4">
        <v>45982</v>
      </c>
      <c r="C4" s="5">
        <f>COUNTIF(B$4:B4,B4)</f>
        <v>1</v>
      </c>
      <c r="D4" s="6">
        <v>41000</v>
      </c>
      <c r="E4" s="6">
        <v>764</v>
      </c>
      <c r="F4" s="6">
        <v>11</v>
      </c>
      <c r="G4" s="6">
        <v>81</v>
      </c>
      <c r="H4" s="6">
        <v>8834</v>
      </c>
      <c r="I4" s="6">
        <v>1324</v>
      </c>
      <c r="J4" s="6">
        <v>2</v>
      </c>
      <c r="M4" t="s">
        <v>27</v>
      </c>
      <c r="N4" t="s">
        <v>11</v>
      </c>
      <c r="O4" t="s">
        <v>10</v>
      </c>
      <c r="P4" t="s">
        <v>18</v>
      </c>
      <c r="Q4" t="s">
        <v>20</v>
      </c>
      <c r="R4" t="s">
        <v>21</v>
      </c>
      <c r="S4" t="s">
        <v>37</v>
      </c>
      <c r="T4" t="s">
        <v>22</v>
      </c>
      <c r="U4"/>
    </row>
    <row r="5" spans="1:21">
      <c r="A5" s="1" t="s">
        <v>10</v>
      </c>
      <c r="B5" s="7">
        <v>45983</v>
      </c>
      <c r="C5" s="5">
        <f>COUNTIF(B$4:B5,B5)</f>
        <v>1</v>
      </c>
      <c r="D5" s="8">
        <v>30300</v>
      </c>
      <c r="E5" s="8">
        <v>891</v>
      </c>
      <c r="F5" s="8">
        <v>12</v>
      </c>
      <c r="G5" s="8">
        <v>73</v>
      </c>
      <c r="H5" s="8">
        <v>7653</v>
      </c>
      <c r="I5" s="8">
        <v>478</v>
      </c>
      <c r="J5" s="8">
        <v>3</v>
      </c>
      <c r="M5" s="9">
        <v>45982</v>
      </c>
      <c r="N5"/>
      <c r="O5">
        <v>8834</v>
      </c>
      <c r="P5"/>
      <c r="Q5"/>
      <c r="R5"/>
      <c r="S5"/>
      <c r="T5"/>
      <c r="U5"/>
    </row>
    <row r="6" spans="1:21">
      <c r="A6" s="1" t="s">
        <v>10</v>
      </c>
      <c r="B6" s="4">
        <v>45984</v>
      </c>
      <c r="C6" s="5">
        <f>COUNTIF(B$4:B6,B6)</f>
        <v>1</v>
      </c>
      <c r="D6" s="6">
        <v>34700</v>
      </c>
      <c r="E6" s="6">
        <v>1577</v>
      </c>
      <c r="F6" s="6">
        <v>15</v>
      </c>
      <c r="G6" s="6">
        <v>214</v>
      </c>
      <c r="H6" s="6">
        <v>15500</v>
      </c>
      <c r="I6" s="6">
        <v>958</v>
      </c>
      <c r="J6" s="6">
        <v>3</v>
      </c>
      <c r="M6" s="9">
        <v>45983</v>
      </c>
      <c r="N6"/>
      <c r="O6">
        <v>7653</v>
      </c>
      <c r="P6"/>
      <c r="Q6"/>
      <c r="R6"/>
      <c r="S6"/>
      <c r="T6"/>
      <c r="U6"/>
    </row>
    <row r="7" spans="1:21">
      <c r="A7" s="1" t="s">
        <v>10</v>
      </c>
      <c r="B7" s="7">
        <v>45985</v>
      </c>
      <c r="C7" s="5">
        <f>COUNTIF(B$4:B7,B7)</f>
        <v>1</v>
      </c>
      <c r="D7" s="8">
        <v>89300</v>
      </c>
      <c r="E7" s="8">
        <v>1776</v>
      </c>
      <c r="F7" s="8">
        <v>16</v>
      </c>
      <c r="G7" s="8">
        <v>118</v>
      </c>
      <c r="H7" s="8">
        <v>9124</v>
      </c>
      <c r="I7" s="8">
        <v>764</v>
      </c>
      <c r="J7" s="8">
        <v>5</v>
      </c>
      <c r="M7" s="9">
        <v>45984</v>
      </c>
      <c r="N7"/>
      <c r="O7">
        <v>15500</v>
      </c>
      <c r="P7"/>
      <c r="Q7"/>
      <c r="R7"/>
      <c r="S7"/>
      <c r="T7"/>
      <c r="U7"/>
    </row>
    <row r="8" spans="1:21">
      <c r="A8" s="1" t="s">
        <v>10</v>
      </c>
      <c r="B8" s="4">
        <v>45987</v>
      </c>
      <c r="C8" s="5">
        <f>COUNTIF(B$4:B8,B8)</f>
        <v>1</v>
      </c>
      <c r="D8" s="6">
        <v>30700</v>
      </c>
      <c r="E8" s="6">
        <v>1250</v>
      </c>
      <c r="F8" s="6">
        <v>14</v>
      </c>
      <c r="G8" s="6">
        <v>154</v>
      </c>
      <c r="H8" s="6">
        <v>10424</v>
      </c>
      <c r="I8" s="6">
        <v>789</v>
      </c>
      <c r="J8" s="6">
        <v>4</v>
      </c>
      <c r="M8" s="9">
        <v>45985</v>
      </c>
      <c r="N8"/>
      <c r="O8">
        <v>9124</v>
      </c>
      <c r="P8"/>
      <c r="Q8"/>
      <c r="R8"/>
      <c r="S8"/>
      <c r="T8"/>
      <c r="U8"/>
    </row>
    <row r="9" spans="1:21">
      <c r="A9" s="1" t="s">
        <v>10</v>
      </c>
      <c r="B9" s="7">
        <v>45992</v>
      </c>
      <c r="C9" s="5">
        <f>COUNTIF(B$4:B9,B9)</f>
        <v>1</v>
      </c>
      <c r="D9" s="10">
        <v>77500</v>
      </c>
      <c r="E9" s="10">
        <v>2997</v>
      </c>
      <c r="F9" s="10">
        <v>23</v>
      </c>
      <c r="G9" s="10">
        <v>725</v>
      </c>
      <c r="H9" s="10">
        <v>30700</v>
      </c>
      <c r="I9" s="10">
        <v>2145</v>
      </c>
      <c r="J9" s="10">
        <v>4</v>
      </c>
      <c r="M9" s="9">
        <v>45987</v>
      </c>
      <c r="N9"/>
      <c r="O9">
        <v>10424</v>
      </c>
      <c r="P9"/>
      <c r="Q9"/>
      <c r="R9"/>
      <c r="S9"/>
      <c r="T9"/>
      <c r="U9"/>
    </row>
    <row r="10" spans="1:21">
      <c r="A10" s="1" t="s">
        <v>10</v>
      </c>
      <c r="B10" s="4">
        <v>45993</v>
      </c>
      <c r="C10" s="5">
        <f>COUNTIF(B$4:B10,B10)</f>
        <v>1</v>
      </c>
      <c r="D10" s="6">
        <v>84400</v>
      </c>
      <c r="E10" s="6">
        <v>2516</v>
      </c>
      <c r="F10" s="6">
        <v>16</v>
      </c>
      <c r="G10" s="6">
        <v>354</v>
      </c>
      <c r="H10" s="6">
        <v>22584</v>
      </c>
      <c r="I10" s="6">
        <v>1587</v>
      </c>
      <c r="J10" s="6">
        <v>3</v>
      </c>
      <c r="M10" s="9">
        <v>45992</v>
      </c>
      <c r="N10">
        <v>4208</v>
      </c>
      <c r="O10">
        <v>30700</v>
      </c>
      <c r="P10"/>
      <c r="Q10"/>
      <c r="R10"/>
      <c r="S10"/>
      <c r="T10"/>
      <c r="U10"/>
    </row>
    <row r="11" spans="1:21">
      <c r="A11" s="1" t="s">
        <v>10</v>
      </c>
      <c r="B11" s="7">
        <v>45993</v>
      </c>
      <c r="C11" s="5">
        <f>COUNTIF(B$4:B11,B11)</f>
        <v>2</v>
      </c>
      <c r="D11" s="10">
        <v>80500</v>
      </c>
      <c r="E11" s="10">
        <v>2678</v>
      </c>
      <c r="F11" s="10">
        <v>18</v>
      </c>
      <c r="G11" s="10">
        <v>344</v>
      </c>
      <c r="H11" s="10">
        <v>22058</v>
      </c>
      <c r="I11" s="10">
        <v>1258</v>
      </c>
      <c r="J11" s="10">
        <v>5</v>
      </c>
      <c r="M11" s="9">
        <v>45993</v>
      </c>
      <c r="N11">
        <v>6679</v>
      </c>
      <c r="O11">
        <v>44642</v>
      </c>
      <c r="P11"/>
      <c r="Q11"/>
      <c r="R11"/>
      <c r="S11"/>
      <c r="T11"/>
      <c r="U11"/>
    </row>
    <row r="12" spans="1:21">
      <c r="A12" s="1" t="s">
        <v>10</v>
      </c>
      <c r="B12" s="4">
        <v>45994</v>
      </c>
      <c r="C12" s="5">
        <f>COUNTIF(B$4:B12,B12)</f>
        <v>1</v>
      </c>
      <c r="D12" s="11">
        <v>74700</v>
      </c>
      <c r="E12" s="6">
        <v>2287</v>
      </c>
      <c r="F12" s="6">
        <v>17</v>
      </c>
      <c r="G12" s="6">
        <v>421</v>
      </c>
      <c r="H12" s="6">
        <v>26547</v>
      </c>
      <c r="I12" s="6">
        <v>1835</v>
      </c>
      <c r="J12" s="6">
        <v>3</v>
      </c>
      <c r="M12" s="9">
        <v>45994</v>
      </c>
      <c r="N12">
        <v>14673</v>
      </c>
      <c r="O12">
        <v>47547</v>
      </c>
      <c r="P12"/>
      <c r="Q12"/>
      <c r="R12"/>
      <c r="S12"/>
      <c r="T12"/>
      <c r="U12"/>
    </row>
    <row r="13" spans="1:21">
      <c r="A13" s="1" t="s">
        <v>10</v>
      </c>
      <c r="B13" s="7">
        <v>45994</v>
      </c>
      <c r="C13" s="5">
        <f>COUNTIF(B$4:B13,B13)</f>
        <v>2</v>
      </c>
      <c r="D13" s="12">
        <v>130700</v>
      </c>
      <c r="E13" s="10">
        <v>2871</v>
      </c>
      <c r="F13" s="10">
        <v>20</v>
      </c>
      <c r="G13" s="10">
        <v>277</v>
      </c>
      <c r="H13" s="10">
        <v>21000</v>
      </c>
      <c r="I13" s="10">
        <v>1411</v>
      </c>
      <c r="J13" s="10">
        <v>6</v>
      </c>
      <c r="M13" s="9">
        <v>45995</v>
      </c>
      <c r="N13">
        <v>9259</v>
      </c>
      <c r="O13">
        <v>35400</v>
      </c>
      <c r="P13"/>
      <c r="Q13"/>
      <c r="R13"/>
      <c r="S13"/>
      <c r="T13"/>
      <c r="U13"/>
    </row>
    <row r="14" spans="1:21">
      <c r="A14" s="1" t="s">
        <v>10</v>
      </c>
      <c r="B14" s="4">
        <v>45995</v>
      </c>
      <c r="C14" s="5">
        <f>COUNTIF(B$4:B14,B14)</f>
        <v>1</v>
      </c>
      <c r="D14" s="11">
        <v>80900</v>
      </c>
      <c r="E14" s="6">
        <v>2494</v>
      </c>
      <c r="F14" s="6">
        <v>17</v>
      </c>
      <c r="G14" s="6">
        <v>319</v>
      </c>
      <c r="H14" s="6">
        <v>24700</v>
      </c>
      <c r="I14" s="6">
        <v>1324</v>
      </c>
      <c r="J14" s="6">
        <v>4</v>
      </c>
      <c r="M14" s="9">
        <v>45996</v>
      </c>
      <c r="N14">
        <v>10521</v>
      </c>
      <c r="O14">
        <v>39978</v>
      </c>
      <c r="P14"/>
      <c r="Q14"/>
      <c r="R14"/>
      <c r="S14"/>
      <c r="T14"/>
      <c r="U14"/>
    </row>
    <row r="15" spans="1:21">
      <c r="A15" s="1" t="s">
        <v>10</v>
      </c>
      <c r="B15" s="7">
        <v>45995</v>
      </c>
      <c r="C15" s="5">
        <f>COUNTIF(B$4:B15,B15)</f>
        <v>2</v>
      </c>
      <c r="D15" s="12">
        <v>57400</v>
      </c>
      <c r="E15" s="10">
        <v>1054</v>
      </c>
      <c r="F15" s="10">
        <v>11</v>
      </c>
      <c r="G15" s="10">
        <v>86</v>
      </c>
      <c r="H15" s="10">
        <v>10700</v>
      </c>
      <c r="I15" s="10">
        <v>870</v>
      </c>
      <c r="J15" s="10">
        <v>4</v>
      </c>
      <c r="M15" s="9">
        <v>45997</v>
      </c>
      <c r="N15">
        <v>18703</v>
      </c>
      <c r="O15"/>
      <c r="P15"/>
      <c r="Q15"/>
      <c r="R15"/>
      <c r="S15"/>
      <c r="T15"/>
      <c r="U15"/>
    </row>
    <row r="16" spans="1:21">
      <c r="A16" s="1" t="s">
        <v>10</v>
      </c>
      <c r="B16" s="4">
        <v>45996</v>
      </c>
      <c r="C16" s="5">
        <f>COUNTIF(B$4:B16,B16)</f>
        <v>1</v>
      </c>
      <c r="D16" s="11">
        <v>126600</v>
      </c>
      <c r="E16" s="6">
        <v>3379</v>
      </c>
      <c r="F16" s="6">
        <v>23</v>
      </c>
      <c r="G16" s="6">
        <v>365</v>
      </c>
      <c r="H16" s="6">
        <v>21078</v>
      </c>
      <c r="I16" s="6">
        <v>1520</v>
      </c>
      <c r="J16" s="6">
        <v>6</v>
      </c>
      <c r="M16" s="9">
        <v>45998</v>
      </c>
      <c r="N16"/>
      <c r="O16">
        <v>25267</v>
      </c>
      <c r="P16"/>
      <c r="Q16"/>
      <c r="R16"/>
      <c r="S16"/>
      <c r="T16"/>
      <c r="U16"/>
    </row>
    <row r="17" spans="1:21">
      <c r="A17" s="1" t="s">
        <v>10</v>
      </c>
      <c r="B17" s="7">
        <v>45996</v>
      </c>
      <c r="C17" s="5">
        <f>COUNTIF(B$4:B17,B17)</f>
        <v>2</v>
      </c>
      <c r="D17" s="12">
        <v>162900</v>
      </c>
      <c r="E17" s="10">
        <v>3046</v>
      </c>
      <c r="F17" s="10">
        <v>23</v>
      </c>
      <c r="G17" s="10">
        <v>258</v>
      </c>
      <c r="H17" s="10">
        <v>18900</v>
      </c>
      <c r="I17" s="10">
        <v>1730</v>
      </c>
      <c r="J17" s="10">
        <v>7</v>
      </c>
      <c r="M17" s="9">
        <v>45999</v>
      </c>
      <c r="N17">
        <v>24551</v>
      </c>
      <c r="O17">
        <v>71144</v>
      </c>
      <c r="P17"/>
      <c r="Q17"/>
      <c r="R17"/>
      <c r="S17"/>
      <c r="T17"/>
      <c r="U17"/>
    </row>
    <row r="18" spans="1:21">
      <c r="A18" s="1" t="s">
        <v>10</v>
      </c>
      <c r="B18" s="4">
        <v>45998</v>
      </c>
      <c r="C18" s="5">
        <f>COUNTIF(B$4:B18,B18)</f>
        <v>1</v>
      </c>
      <c r="D18" s="11">
        <v>1100000</v>
      </c>
      <c r="E18" s="6">
        <v>8278</v>
      </c>
      <c r="F18" s="6">
        <v>23</v>
      </c>
      <c r="G18" s="6">
        <v>412</v>
      </c>
      <c r="H18" s="6">
        <v>25267</v>
      </c>
      <c r="I18" s="6">
        <v>1725</v>
      </c>
      <c r="J18" s="6">
        <v>6</v>
      </c>
      <c r="M18" s="9">
        <v>46000</v>
      </c>
      <c r="N18">
        <v>45054</v>
      </c>
      <c r="O18">
        <v>68005</v>
      </c>
      <c r="P18"/>
      <c r="Q18"/>
      <c r="R18"/>
      <c r="S18"/>
      <c r="T18"/>
      <c r="U18"/>
    </row>
    <row r="19" spans="1:21">
      <c r="A19" s="1" t="s">
        <v>10</v>
      </c>
      <c r="B19" s="7">
        <v>45999</v>
      </c>
      <c r="C19" s="5">
        <f>COUNTIF(B$4:B19,B19)</f>
        <v>1</v>
      </c>
      <c r="D19" s="12">
        <v>896200</v>
      </c>
      <c r="E19" s="10">
        <v>3760</v>
      </c>
      <c r="F19" s="10">
        <v>24</v>
      </c>
      <c r="G19" s="10">
        <v>634</v>
      </c>
      <c r="H19" s="10">
        <v>32000</v>
      </c>
      <c r="I19" s="10">
        <v>2123</v>
      </c>
      <c r="J19" s="10">
        <v>6</v>
      </c>
      <c r="M19" s="9">
        <v>46001</v>
      </c>
      <c r="N19">
        <v>73404</v>
      </c>
      <c r="O19">
        <v>38861</v>
      </c>
      <c r="P19"/>
      <c r="Q19"/>
      <c r="R19"/>
      <c r="S19"/>
      <c r="T19"/>
      <c r="U19"/>
    </row>
    <row r="20" spans="1:21">
      <c r="A20" s="1" t="s">
        <v>10</v>
      </c>
      <c r="B20" s="4">
        <v>45999</v>
      </c>
      <c r="C20" s="5">
        <f>COUNTIF(B$4:B20,B20)</f>
        <v>2</v>
      </c>
      <c r="D20" s="11">
        <v>757400</v>
      </c>
      <c r="E20" s="6">
        <v>5350</v>
      </c>
      <c r="F20" s="6">
        <v>24</v>
      </c>
      <c r="G20" s="6">
        <v>1122</v>
      </c>
      <c r="H20" s="6">
        <v>39144</v>
      </c>
      <c r="I20" s="6">
        <v>3995</v>
      </c>
      <c r="J20" s="6">
        <v>7</v>
      </c>
      <c r="M20" s="9">
        <v>46002</v>
      </c>
      <c r="N20">
        <v>30630</v>
      </c>
      <c r="O20">
        <v>41715</v>
      </c>
      <c r="P20"/>
      <c r="Q20"/>
      <c r="R20"/>
      <c r="S20"/>
      <c r="T20"/>
      <c r="U20"/>
    </row>
    <row r="21" spans="1:21">
      <c r="A21" s="1" t="s">
        <v>10</v>
      </c>
      <c r="B21" s="7">
        <v>46000</v>
      </c>
      <c r="C21" s="5">
        <f>COUNTIF(B$4:B21,B21)</f>
        <v>1</v>
      </c>
      <c r="D21" s="12">
        <v>680000</v>
      </c>
      <c r="E21" s="10">
        <v>8543</v>
      </c>
      <c r="F21" s="10">
        <v>24</v>
      </c>
      <c r="G21" s="10">
        <v>969</v>
      </c>
      <c r="H21" s="10">
        <v>47905</v>
      </c>
      <c r="I21" s="10">
        <v>3377</v>
      </c>
      <c r="J21" s="10">
        <v>6</v>
      </c>
      <c r="M21" s="9">
        <v>46004</v>
      </c>
      <c r="N21">
        <v>26957</v>
      </c>
      <c r="O21">
        <v>58048</v>
      </c>
      <c r="P21"/>
      <c r="Q21"/>
      <c r="R21"/>
      <c r="S21"/>
      <c r="T21"/>
      <c r="U21"/>
    </row>
    <row r="22" spans="1:21">
      <c r="A22" s="1" t="s">
        <v>10</v>
      </c>
      <c r="B22" s="4">
        <v>46000</v>
      </c>
      <c r="C22" s="5">
        <f>COUNTIF(B$4:B22,B22)</f>
        <v>2</v>
      </c>
      <c r="D22" s="11">
        <v>272200</v>
      </c>
      <c r="E22" s="6">
        <v>2224</v>
      </c>
      <c r="F22" s="6">
        <v>14</v>
      </c>
      <c r="G22" s="6">
        <v>354</v>
      </c>
      <c r="H22" s="6">
        <v>20100</v>
      </c>
      <c r="I22" s="6">
        <v>2795</v>
      </c>
      <c r="J22" s="6">
        <v>6</v>
      </c>
      <c r="M22" s="9">
        <v>46005</v>
      </c>
      <c r="N22">
        <v>58391</v>
      </c>
      <c r="O22">
        <v>46717</v>
      </c>
      <c r="P22"/>
      <c r="Q22"/>
      <c r="R22"/>
      <c r="S22"/>
      <c r="T22"/>
      <c r="U22"/>
    </row>
    <row r="23" spans="1:21">
      <c r="A23" s="1" t="s">
        <v>10</v>
      </c>
      <c r="B23" s="7">
        <v>46001</v>
      </c>
      <c r="C23" s="5">
        <f>COUNTIF(B$4:B23,B23)</f>
        <v>1</v>
      </c>
      <c r="D23" s="12">
        <v>966500</v>
      </c>
      <c r="E23" s="10">
        <v>5098</v>
      </c>
      <c r="F23" s="10">
        <v>20</v>
      </c>
      <c r="G23" s="10">
        <v>577</v>
      </c>
      <c r="H23" s="10">
        <v>38861</v>
      </c>
      <c r="I23" s="10">
        <v>2830</v>
      </c>
      <c r="J23" s="10">
        <v>6</v>
      </c>
      <c r="M23" s="9">
        <v>46007</v>
      </c>
      <c r="N23">
        <v>38158</v>
      </c>
      <c r="O23">
        <v>43423</v>
      </c>
      <c r="P23"/>
      <c r="Q23"/>
      <c r="R23"/>
      <c r="S23"/>
      <c r="T23"/>
      <c r="U23"/>
    </row>
    <row r="24" spans="1:21">
      <c r="A24" s="1" t="s">
        <v>10</v>
      </c>
      <c r="B24" s="4">
        <v>46002</v>
      </c>
      <c r="C24" s="5">
        <f>COUNTIF(B$4:B24,B24)</f>
        <v>1</v>
      </c>
      <c r="D24" s="11">
        <v>325300</v>
      </c>
      <c r="E24" s="6">
        <v>2384</v>
      </c>
      <c r="F24" s="6">
        <v>17</v>
      </c>
      <c r="G24" s="6">
        <v>488</v>
      </c>
      <c r="H24" s="6">
        <v>41715</v>
      </c>
      <c r="I24" s="6">
        <v>2052</v>
      </c>
      <c r="J24" s="6">
        <v>5</v>
      </c>
      <c r="M24" s="9">
        <v>46008</v>
      </c>
      <c r="N24">
        <v>43637</v>
      </c>
      <c r="O24">
        <v>36705</v>
      </c>
      <c r="P24"/>
      <c r="Q24"/>
      <c r="R24"/>
      <c r="S24"/>
      <c r="T24"/>
      <c r="U24"/>
    </row>
    <row r="25" spans="1:21">
      <c r="A25" s="1" t="s">
        <v>10</v>
      </c>
      <c r="B25" s="7">
        <v>46004</v>
      </c>
      <c r="C25" s="5">
        <f>COUNTIF(B$4:B25,B25)</f>
        <v>1</v>
      </c>
      <c r="D25" s="12">
        <v>626300</v>
      </c>
      <c r="E25" s="10">
        <v>6085</v>
      </c>
      <c r="F25" s="10">
        <v>24</v>
      </c>
      <c r="G25" s="10">
        <v>1092</v>
      </c>
      <c r="H25" s="10">
        <v>58048</v>
      </c>
      <c r="I25" s="10">
        <v>4482</v>
      </c>
      <c r="J25" s="10">
        <v>6</v>
      </c>
      <c r="M25" s="9">
        <v>46009</v>
      </c>
      <c r="N25">
        <v>45273</v>
      </c>
      <c r="O25">
        <v>39272</v>
      </c>
      <c r="P25"/>
      <c r="Q25"/>
      <c r="R25"/>
      <c r="S25"/>
      <c r="T25"/>
      <c r="U25"/>
    </row>
    <row r="26" spans="1:21">
      <c r="A26" s="1" t="s">
        <v>10</v>
      </c>
      <c r="B26" s="4">
        <v>46005</v>
      </c>
      <c r="C26" s="5">
        <f>COUNTIF(B$4:B26,B26)</f>
        <v>1</v>
      </c>
      <c r="D26" s="11">
        <v>448300</v>
      </c>
      <c r="E26" s="6">
        <v>4494</v>
      </c>
      <c r="F26" s="6">
        <v>17</v>
      </c>
      <c r="G26" s="6">
        <v>439</v>
      </c>
      <c r="H26" s="6">
        <v>46717</v>
      </c>
      <c r="I26" s="6">
        <v>2504</v>
      </c>
      <c r="J26" s="6">
        <v>7</v>
      </c>
      <c r="M26" s="9">
        <v>46010</v>
      </c>
      <c r="N26">
        <v>45786</v>
      </c>
      <c r="O26">
        <v>39952</v>
      </c>
      <c r="P26"/>
      <c r="Q26"/>
      <c r="R26"/>
      <c r="S26"/>
      <c r="T26"/>
      <c r="U26"/>
    </row>
    <row r="27" spans="1:21">
      <c r="A27" s="1" t="s">
        <v>10</v>
      </c>
      <c r="B27" s="7">
        <v>46007</v>
      </c>
      <c r="C27" s="5">
        <f>COUNTIF(B$4:B27,B27)</f>
        <v>1</v>
      </c>
      <c r="D27" s="12">
        <v>1500000</v>
      </c>
      <c r="E27" s="8">
        <v>8777</v>
      </c>
      <c r="F27" s="8">
        <v>26</v>
      </c>
      <c r="G27" s="8">
        <v>654</v>
      </c>
      <c r="H27" s="8">
        <v>43423</v>
      </c>
      <c r="I27" s="8">
        <v>4034</v>
      </c>
      <c r="J27" s="8">
        <v>9</v>
      </c>
      <c r="M27" s="9">
        <v>46011</v>
      </c>
      <c r="N27">
        <v>29163</v>
      </c>
      <c r="O27">
        <v>11603</v>
      </c>
      <c r="P27"/>
      <c r="Q27"/>
      <c r="R27"/>
      <c r="S27"/>
      <c r="T27"/>
      <c r="U27"/>
    </row>
    <row r="28" spans="1:21">
      <c r="A28" s="1" t="s">
        <v>10</v>
      </c>
      <c r="B28" s="4">
        <v>46008</v>
      </c>
      <c r="C28" s="5">
        <f>COUNTIF(B$4:B28,B28)</f>
        <v>1</v>
      </c>
      <c r="D28" s="11">
        <v>564100</v>
      </c>
      <c r="E28" s="6">
        <v>8672</v>
      </c>
      <c r="F28" s="6">
        <v>26</v>
      </c>
      <c r="G28" s="6">
        <v>458</v>
      </c>
      <c r="H28" s="6">
        <v>36705</v>
      </c>
      <c r="I28" s="6">
        <v>3735</v>
      </c>
      <c r="J28" s="6">
        <v>11</v>
      </c>
      <c r="M28" s="9">
        <v>46012</v>
      </c>
      <c r="N28"/>
      <c r="O28">
        <v>29163</v>
      </c>
      <c r="P28"/>
      <c r="Q28"/>
      <c r="R28"/>
      <c r="S28"/>
      <c r="T28"/>
      <c r="U28"/>
    </row>
    <row r="29" spans="1:21">
      <c r="A29" s="1" t="s">
        <v>10</v>
      </c>
      <c r="B29" s="7">
        <v>46009</v>
      </c>
      <c r="C29" s="5">
        <f>COUNTIF(B$4:B29,B29)</f>
        <v>1</v>
      </c>
      <c r="D29" s="12">
        <v>549800</v>
      </c>
      <c r="E29" s="8">
        <v>6800</v>
      </c>
      <c r="F29" s="8">
        <v>23</v>
      </c>
      <c r="G29" s="8">
        <v>323</v>
      </c>
      <c r="H29" s="8">
        <v>39272</v>
      </c>
      <c r="I29" s="8">
        <v>3071</v>
      </c>
      <c r="J29" s="8">
        <v>8</v>
      </c>
      <c r="M29" s="9">
        <v>46014</v>
      </c>
      <c r="N29">
        <v>37127</v>
      </c>
      <c r="O29">
        <v>42160</v>
      </c>
      <c r="P29"/>
      <c r="Q29"/>
      <c r="R29"/>
      <c r="S29"/>
      <c r="T29"/>
      <c r="U29"/>
    </row>
    <row r="30" spans="1:21">
      <c r="A30" s="1" t="s">
        <v>10</v>
      </c>
      <c r="B30" s="4">
        <v>46010</v>
      </c>
      <c r="C30" s="5">
        <f>COUNTIF(B$4:B30,B30)</f>
        <v>1</v>
      </c>
      <c r="D30" s="11">
        <v>2700000</v>
      </c>
      <c r="E30" s="6">
        <v>15300</v>
      </c>
      <c r="F30" s="6">
        <v>28</v>
      </c>
      <c r="G30" s="6">
        <v>368</v>
      </c>
      <c r="H30" s="6">
        <v>39952</v>
      </c>
      <c r="I30" s="6">
        <v>3846</v>
      </c>
      <c r="J30" s="6">
        <v>11</v>
      </c>
      <c r="M30" s="9">
        <v>46015</v>
      </c>
      <c r="N30">
        <v>24165</v>
      </c>
      <c r="O30">
        <v>36647</v>
      </c>
      <c r="P30"/>
      <c r="Q30"/>
      <c r="R30"/>
      <c r="S30"/>
      <c r="T30"/>
      <c r="U30"/>
    </row>
    <row r="31" spans="1:21">
      <c r="A31" s="1" t="s">
        <v>10</v>
      </c>
      <c r="B31" s="7">
        <v>46011</v>
      </c>
      <c r="C31" s="5">
        <f>COUNTIF(B$4:B31,B31)</f>
        <v>1</v>
      </c>
      <c r="D31" s="12">
        <v>57700</v>
      </c>
      <c r="E31" s="8">
        <v>898</v>
      </c>
      <c r="F31" s="8">
        <v>5</v>
      </c>
      <c r="G31" s="8">
        <v>114</v>
      </c>
      <c r="H31" s="8">
        <v>11603</v>
      </c>
      <c r="I31" s="8">
        <v>2666</v>
      </c>
      <c r="J31" s="8">
        <v>1</v>
      </c>
      <c r="M31" s="9">
        <v>46016</v>
      </c>
      <c r="N31">
        <v>66075</v>
      </c>
      <c r="O31">
        <v>43791</v>
      </c>
      <c r="P31"/>
      <c r="Q31"/>
      <c r="R31"/>
      <c r="S31"/>
      <c r="T31"/>
      <c r="U31"/>
    </row>
    <row r="32" spans="1:21">
      <c r="A32" s="1" t="s">
        <v>10</v>
      </c>
      <c r="B32" s="4">
        <v>46012</v>
      </c>
      <c r="C32" s="5">
        <f>COUNTIF(B$4:B32,B32)</f>
        <v>1</v>
      </c>
      <c r="D32" s="11">
        <v>813900</v>
      </c>
      <c r="E32" s="6">
        <v>6330</v>
      </c>
      <c r="F32" s="6">
        <v>27</v>
      </c>
      <c r="G32" s="6">
        <v>307</v>
      </c>
      <c r="H32" s="6">
        <v>29163</v>
      </c>
      <c r="I32" s="6">
        <v>2642</v>
      </c>
      <c r="J32" s="6">
        <v>8</v>
      </c>
      <c r="M32" s="9">
        <v>46017</v>
      </c>
      <c r="N32">
        <v>71714</v>
      </c>
      <c r="O32">
        <v>35371</v>
      </c>
      <c r="P32"/>
      <c r="Q32"/>
      <c r="R32"/>
      <c r="S32"/>
      <c r="T32"/>
      <c r="U32"/>
    </row>
    <row r="33" spans="1:21">
      <c r="A33" s="1" t="s">
        <v>10</v>
      </c>
      <c r="B33" s="7">
        <v>46014</v>
      </c>
      <c r="C33" s="5">
        <f>COUNTIF(B$4:B33,B33)</f>
        <v>1</v>
      </c>
      <c r="D33" s="12">
        <v>1000000</v>
      </c>
      <c r="E33" s="8">
        <v>8578</v>
      </c>
      <c r="F33" s="8">
        <v>32</v>
      </c>
      <c r="G33" s="8">
        <v>498</v>
      </c>
      <c r="H33" s="8">
        <v>42160</v>
      </c>
      <c r="I33" s="8">
        <v>4612</v>
      </c>
      <c r="J33" s="8">
        <v>12</v>
      </c>
      <c r="M33" s="9">
        <v>46018</v>
      </c>
      <c r="N33">
        <v>63866</v>
      </c>
      <c r="O33">
        <v>59315</v>
      </c>
      <c r="P33"/>
      <c r="Q33"/>
      <c r="R33"/>
      <c r="S33"/>
      <c r="T33"/>
      <c r="U33"/>
    </row>
    <row r="34" spans="1:21">
      <c r="A34" s="1" t="s">
        <v>10</v>
      </c>
      <c r="B34" s="4">
        <v>46015</v>
      </c>
      <c r="C34" s="5">
        <f>COUNTIF(B$4:B34,B34)</f>
        <v>1</v>
      </c>
      <c r="D34" s="11">
        <v>849900</v>
      </c>
      <c r="E34" s="6">
        <v>8995</v>
      </c>
      <c r="F34" s="6">
        <v>28</v>
      </c>
      <c r="G34" s="6">
        <v>467</v>
      </c>
      <c r="H34" s="6">
        <v>36647</v>
      </c>
      <c r="I34" s="6">
        <v>4282</v>
      </c>
      <c r="J34" s="6">
        <v>11</v>
      </c>
      <c r="M34" s="9">
        <v>46019</v>
      </c>
      <c r="N34">
        <v>51214</v>
      </c>
      <c r="O34">
        <v>45443</v>
      </c>
      <c r="P34"/>
      <c r="Q34"/>
      <c r="R34"/>
      <c r="S34"/>
      <c r="T34"/>
      <c r="U34"/>
    </row>
    <row r="35" spans="1:21">
      <c r="A35" s="1" t="s">
        <v>10</v>
      </c>
      <c r="B35" s="7">
        <v>46016</v>
      </c>
      <c r="C35" s="5">
        <f>COUNTIF(B$4:B35,B35)</f>
        <v>1</v>
      </c>
      <c r="D35" s="12">
        <v>1000000</v>
      </c>
      <c r="E35" s="8">
        <v>11000</v>
      </c>
      <c r="F35" s="8">
        <v>35</v>
      </c>
      <c r="G35" s="8">
        <v>541</v>
      </c>
      <c r="H35" s="8">
        <v>43791</v>
      </c>
      <c r="I35" s="8">
        <v>5179</v>
      </c>
      <c r="J35" s="8">
        <v>12</v>
      </c>
      <c r="M35" s="9">
        <v>46021</v>
      </c>
      <c r="N35">
        <v>74953</v>
      </c>
      <c r="O35">
        <v>53102</v>
      </c>
      <c r="P35"/>
      <c r="Q35"/>
      <c r="R35"/>
      <c r="S35"/>
      <c r="T35"/>
      <c r="U35"/>
    </row>
    <row r="36" spans="1:21">
      <c r="A36" s="1" t="s">
        <v>10</v>
      </c>
      <c r="B36" s="4">
        <v>46017</v>
      </c>
      <c r="C36" s="5">
        <f>COUNTIF(B$4:B36,B36)</f>
        <v>1</v>
      </c>
      <c r="D36" s="11">
        <v>1300000</v>
      </c>
      <c r="E36" s="6">
        <v>6010</v>
      </c>
      <c r="F36" s="6">
        <v>30</v>
      </c>
      <c r="G36" s="6">
        <v>325</v>
      </c>
      <c r="H36" s="6">
        <v>35371</v>
      </c>
      <c r="I36" s="6">
        <v>4755</v>
      </c>
      <c r="J36" s="6">
        <v>14</v>
      </c>
      <c r="M36" s="9">
        <v>46022</v>
      </c>
      <c r="N36">
        <v>88651</v>
      </c>
      <c r="O36"/>
      <c r="P36"/>
      <c r="Q36"/>
      <c r="R36"/>
      <c r="S36"/>
      <c r="T36"/>
      <c r="U36"/>
    </row>
    <row r="37" spans="1:21">
      <c r="A37" s="1" t="s">
        <v>10</v>
      </c>
      <c r="B37" s="7">
        <v>46018</v>
      </c>
      <c r="C37" s="5">
        <f>COUNTIF(B$4:B37,B37)</f>
        <v>1</v>
      </c>
      <c r="D37" s="12">
        <v>1400000</v>
      </c>
      <c r="E37" s="8">
        <v>17300</v>
      </c>
      <c r="F37" s="8">
        <v>29</v>
      </c>
      <c r="G37" s="8">
        <v>860</v>
      </c>
      <c r="H37" s="8">
        <v>59315</v>
      </c>
      <c r="I37" s="8">
        <v>4431</v>
      </c>
      <c r="J37" s="8">
        <v>7</v>
      </c>
      <c r="M37" s="9">
        <v>46023</v>
      </c>
      <c r="N37">
        <v>64976</v>
      </c>
      <c r="O37">
        <v>72010</v>
      </c>
      <c r="P37"/>
      <c r="Q37"/>
      <c r="R37"/>
      <c r="S37"/>
      <c r="T37"/>
      <c r="U37"/>
    </row>
    <row r="38" spans="1:21">
      <c r="A38" s="1" t="s">
        <v>10</v>
      </c>
      <c r="B38" s="4">
        <v>46019</v>
      </c>
      <c r="C38" s="5">
        <f>COUNTIF(B$4:B38,B38)</f>
        <v>1</v>
      </c>
      <c r="D38" s="11">
        <v>843600</v>
      </c>
      <c r="E38" s="6">
        <v>12600</v>
      </c>
      <c r="F38" s="6">
        <v>31</v>
      </c>
      <c r="G38" s="6">
        <v>449</v>
      </c>
      <c r="H38" s="6">
        <v>45443</v>
      </c>
      <c r="I38" s="6">
        <v>5372</v>
      </c>
      <c r="J38" s="6">
        <v>13</v>
      </c>
      <c r="M38" s="9">
        <v>46024</v>
      </c>
      <c r="N38">
        <v>92796</v>
      </c>
      <c r="O38">
        <v>42428</v>
      </c>
      <c r="P38"/>
      <c r="Q38"/>
      <c r="R38"/>
      <c r="S38"/>
      <c r="T38"/>
      <c r="U38"/>
    </row>
    <row r="39" spans="1:21">
      <c r="A39" s="1" t="s">
        <v>10</v>
      </c>
      <c r="B39" s="7">
        <v>46021</v>
      </c>
      <c r="C39" s="5">
        <f>COUNTIF(B$4:B39,B39)</f>
        <v>1</v>
      </c>
      <c r="D39" s="12">
        <v>1500000</v>
      </c>
      <c r="E39" s="8">
        <v>12700</v>
      </c>
      <c r="F39" s="8">
        <v>41</v>
      </c>
      <c r="G39" s="8">
        <v>908</v>
      </c>
      <c r="H39" s="8">
        <v>53102</v>
      </c>
      <c r="I39" s="8">
        <v>7580</v>
      </c>
      <c r="J39" s="8">
        <v>15</v>
      </c>
      <c r="M39" s="9">
        <v>46025</v>
      </c>
      <c r="N39">
        <v>114392</v>
      </c>
      <c r="O39">
        <v>48180</v>
      </c>
      <c r="P39"/>
      <c r="Q39"/>
      <c r="R39"/>
      <c r="S39"/>
      <c r="T39"/>
      <c r="U39"/>
    </row>
    <row r="40" spans="1:21">
      <c r="A40" s="1" t="s">
        <v>10</v>
      </c>
      <c r="B40" s="4">
        <v>46023</v>
      </c>
      <c r="C40" s="5">
        <f>COUNTIF(B$4:B40,B40)</f>
        <v>1</v>
      </c>
      <c r="D40" s="11">
        <v>1500000</v>
      </c>
      <c r="E40" s="6">
        <v>6462</v>
      </c>
      <c r="F40" s="6">
        <v>25</v>
      </c>
      <c r="G40" s="6">
        <v>336</v>
      </c>
      <c r="H40" s="6">
        <v>72010</v>
      </c>
      <c r="I40" s="6">
        <v>3857</v>
      </c>
      <c r="J40" s="6">
        <v>11</v>
      </c>
      <c r="M40" s="9">
        <v>46026</v>
      </c>
      <c r="N40">
        <v>147873</v>
      </c>
      <c r="O40">
        <v>60354</v>
      </c>
      <c r="P40"/>
      <c r="Q40"/>
      <c r="R40"/>
      <c r="S40"/>
      <c r="T40"/>
      <c r="U40"/>
    </row>
    <row r="41" spans="1:21">
      <c r="A41" s="1" t="s">
        <v>10</v>
      </c>
      <c r="B41" s="7">
        <v>46024</v>
      </c>
      <c r="C41" s="5">
        <f>COUNTIF(B$4:B41,B41)</f>
        <v>1</v>
      </c>
      <c r="D41" s="12">
        <v>945500</v>
      </c>
      <c r="E41" s="8">
        <v>11800</v>
      </c>
      <c r="F41" s="8">
        <v>38</v>
      </c>
      <c r="G41" s="8">
        <v>524</v>
      </c>
      <c r="H41" s="8">
        <v>42428</v>
      </c>
      <c r="I41" s="8">
        <v>6229</v>
      </c>
      <c r="J41" s="8">
        <v>18</v>
      </c>
      <c r="M41" s="9">
        <v>46027</v>
      </c>
      <c r="N41"/>
      <c r="O41"/>
      <c r="P41">
        <v>14299</v>
      </c>
      <c r="Q41"/>
      <c r="R41"/>
      <c r="S41"/>
      <c r="T41"/>
      <c r="U41"/>
    </row>
    <row r="42" spans="1:21">
      <c r="A42" s="1" t="s">
        <v>10</v>
      </c>
      <c r="B42" s="4">
        <v>46025</v>
      </c>
      <c r="C42" s="5">
        <f>COUNTIF(B$4:B42,B42)</f>
        <v>1</v>
      </c>
      <c r="D42" s="11">
        <v>1000000</v>
      </c>
      <c r="E42" s="6">
        <v>10400</v>
      </c>
      <c r="F42" s="6">
        <v>39</v>
      </c>
      <c r="G42" s="6">
        <v>372</v>
      </c>
      <c r="H42" s="6">
        <v>48180</v>
      </c>
      <c r="I42" s="6">
        <v>6799</v>
      </c>
      <c r="J42" s="6">
        <v>16</v>
      </c>
      <c r="M42" s="9">
        <v>46028</v>
      </c>
      <c r="N42">
        <v>178796</v>
      </c>
      <c r="O42">
        <v>64833</v>
      </c>
      <c r="P42">
        <v>14176</v>
      </c>
      <c r="Q42"/>
      <c r="R42"/>
      <c r="S42"/>
      <c r="T42"/>
      <c r="U42"/>
    </row>
    <row r="43" spans="1:21">
      <c r="A43" s="1" t="s">
        <v>10</v>
      </c>
      <c r="B43" s="7">
        <v>46026</v>
      </c>
      <c r="C43" s="5">
        <f>COUNTIF(B$4:B43,B43)</f>
        <v>1</v>
      </c>
      <c r="D43" s="12">
        <v>1000000</v>
      </c>
      <c r="E43" s="8">
        <v>20400</v>
      </c>
      <c r="F43" s="8">
        <v>44</v>
      </c>
      <c r="G43" s="8">
        <v>733</v>
      </c>
      <c r="H43" s="8">
        <v>60354</v>
      </c>
      <c r="I43" s="8">
        <v>7324</v>
      </c>
      <c r="J43" s="8">
        <v>17</v>
      </c>
      <c r="M43" s="9">
        <v>46029</v>
      </c>
      <c r="N43">
        <v>195332</v>
      </c>
      <c r="O43">
        <v>67876</v>
      </c>
      <c r="P43"/>
      <c r="Q43"/>
      <c r="R43"/>
      <c r="S43"/>
      <c r="T43"/>
      <c r="U43"/>
    </row>
    <row r="44" spans="1:21">
      <c r="A44" s="1" t="s">
        <v>10</v>
      </c>
      <c r="B44" s="4">
        <v>46028</v>
      </c>
      <c r="C44" s="5">
        <f>COUNTIF(B$4:B44,B44)</f>
        <v>1</v>
      </c>
      <c r="D44" s="11">
        <v>1600000</v>
      </c>
      <c r="E44" s="6">
        <v>17600</v>
      </c>
      <c r="F44" s="6">
        <v>48</v>
      </c>
      <c r="G44" s="6">
        <v>659</v>
      </c>
      <c r="H44" s="6">
        <v>64833</v>
      </c>
      <c r="I44" s="6">
        <v>9909</v>
      </c>
      <c r="J44" s="6">
        <v>20</v>
      </c>
      <c r="M44" s="9">
        <v>46030</v>
      </c>
      <c r="N44">
        <v>167548</v>
      </c>
      <c r="O44">
        <v>56204</v>
      </c>
      <c r="P44">
        <v>20936</v>
      </c>
      <c r="Q44"/>
      <c r="R44"/>
      <c r="S44"/>
      <c r="T44"/>
      <c r="U44"/>
    </row>
    <row r="45" spans="1:21">
      <c r="A45" s="1" t="s">
        <v>10</v>
      </c>
      <c r="B45" s="7">
        <v>46029</v>
      </c>
      <c r="C45" s="5">
        <f>COUNTIF(B$4:B45,B45)</f>
        <v>1</v>
      </c>
      <c r="D45" s="12">
        <v>2700000</v>
      </c>
      <c r="E45" s="8">
        <v>14900</v>
      </c>
      <c r="F45" s="8">
        <v>44</v>
      </c>
      <c r="G45" s="8">
        <v>665</v>
      </c>
      <c r="H45" s="8">
        <v>67876</v>
      </c>
      <c r="I45" s="8">
        <v>9610</v>
      </c>
      <c r="J45" s="8">
        <v>18</v>
      </c>
      <c r="M45" s="9">
        <v>46031</v>
      </c>
      <c r="N45">
        <v>80695</v>
      </c>
      <c r="O45">
        <v>62787</v>
      </c>
      <c r="P45">
        <v>26480</v>
      </c>
      <c r="Q45"/>
      <c r="R45"/>
      <c r="S45"/>
      <c r="T45"/>
      <c r="U45"/>
    </row>
    <row r="46" spans="1:21">
      <c r="A46" s="1" t="s">
        <v>10</v>
      </c>
      <c r="B46" s="4">
        <v>46030</v>
      </c>
      <c r="C46" s="5">
        <f>COUNTIF(B$4:B46,B46)</f>
        <v>1</v>
      </c>
      <c r="D46" s="11">
        <v>1200000</v>
      </c>
      <c r="E46" s="6">
        <v>14200</v>
      </c>
      <c r="F46" s="6">
        <v>42</v>
      </c>
      <c r="G46" s="6">
        <v>444</v>
      </c>
      <c r="H46" s="6">
        <v>56204</v>
      </c>
      <c r="I46" s="6">
        <v>9670</v>
      </c>
      <c r="J46" s="6">
        <v>20</v>
      </c>
      <c r="M46" s="9">
        <v>46032</v>
      </c>
      <c r="N46">
        <v>156405</v>
      </c>
      <c r="O46">
        <v>58975</v>
      </c>
      <c r="P46"/>
      <c r="Q46"/>
      <c r="R46"/>
      <c r="S46"/>
      <c r="T46"/>
      <c r="U46"/>
    </row>
    <row r="47" spans="1:21">
      <c r="A47" s="1" t="s">
        <v>10</v>
      </c>
      <c r="B47" s="7">
        <v>46031</v>
      </c>
      <c r="C47" s="5">
        <f>COUNTIF(B$4:B47,B47)</f>
        <v>1</v>
      </c>
      <c r="D47" s="12">
        <v>1200000</v>
      </c>
      <c r="E47" s="8">
        <v>14500</v>
      </c>
      <c r="F47" s="8">
        <v>39</v>
      </c>
      <c r="G47" s="8">
        <v>469</v>
      </c>
      <c r="H47" s="8">
        <v>62787</v>
      </c>
      <c r="I47" s="8">
        <v>8819</v>
      </c>
      <c r="J47" s="8">
        <v>20</v>
      </c>
      <c r="M47" s="9">
        <v>46033</v>
      </c>
      <c r="N47">
        <v>257609</v>
      </c>
      <c r="O47"/>
      <c r="P47"/>
      <c r="Q47"/>
      <c r="R47"/>
      <c r="S47"/>
      <c r="T47"/>
      <c r="U47"/>
    </row>
    <row r="48" spans="1:21">
      <c r="A48" s="1" t="s">
        <v>10</v>
      </c>
      <c r="B48" s="4">
        <v>46032</v>
      </c>
      <c r="C48" s="5">
        <f>COUNTIF(B$4:B48,B48)</f>
        <v>1</v>
      </c>
      <c r="D48" s="11">
        <v>1400000</v>
      </c>
      <c r="E48" s="6">
        <v>21300</v>
      </c>
      <c r="F48" s="6">
        <v>46</v>
      </c>
      <c r="G48" s="6">
        <v>497</v>
      </c>
      <c r="H48" s="6">
        <v>58975</v>
      </c>
      <c r="I48" s="6">
        <v>11400</v>
      </c>
      <c r="J48" s="6">
        <v>21</v>
      </c>
      <c r="M48" s="9">
        <v>46034</v>
      </c>
      <c r="N48"/>
      <c r="O48"/>
      <c r="P48">
        <v>17301</v>
      </c>
      <c r="Q48"/>
      <c r="R48"/>
      <c r="S48"/>
      <c r="T48"/>
      <c r="U48"/>
    </row>
    <row r="49" spans="1:21">
      <c r="A49" s="1" t="s">
        <v>10</v>
      </c>
      <c r="B49" s="7">
        <v>46035</v>
      </c>
      <c r="C49" s="5">
        <f>COUNTIF(B$4:B49,B49)</f>
        <v>1</v>
      </c>
      <c r="D49" s="12">
        <v>633800</v>
      </c>
      <c r="E49" s="8">
        <v>7739</v>
      </c>
      <c r="F49" s="8">
        <v>28</v>
      </c>
      <c r="G49" s="8">
        <v>523</v>
      </c>
      <c r="H49" s="8">
        <v>44980</v>
      </c>
      <c r="I49" s="8">
        <v>9973</v>
      </c>
      <c r="J49" s="8">
        <v>13</v>
      </c>
      <c r="M49" s="9">
        <v>46035</v>
      </c>
      <c r="N49">
        <v>108480</v>
      </c>
      <c r="O49">
        <v>74602</v>
      </c>
      <c r="P49">
        <v>15951</v>
      </c>
      <c r="Q49"/>
      <c r="R49"/>
      <c r="S49"/>
      <c r="T49"/>
      <c r="U49"/>
    </row>
    <row r="50" spans="1:21">
      <c r="A50" s="1" t="s">
        <v>10</v>
      </c>
      <c r="B50" s="4">
        <v>46035</v>
      </c>
      <c r="C50" s="5">
        <f>COUNTIF(B$4:B50,B50)</f>
        <v>2</v>
      </c>
      <c r="D50" s="11">
        <v>431900</v>
      </c>
      <c r="E50" s="6">
        <v>6974</v>
      </c>
      <c r="F50" s="6">
        <v>24</v>
      </c>
      <c r="G50" s="6">
        <v>129</v>
      </c>
      <c r="H50" s="6">
        <v>29622</v>
      </c>
      <c r="I50" s="6">
        <v>10100</v>
      </c>
      <c r="J50" s="6">
        <v>14</v>
      </c>
      <c r="M50" s="9">
        <v>46036</v>
      </c>
      <c r="N50">
        <v>183238</v>
      </c>
      <c r="O50">
        <v>72826</v>
      </c>
      <c r="P50">
        <v>14040</v>
      </c>
      <c r="Q50"/>
      <c r="R50"/>
      <c r="S50"/>
      <c r="T50"/>
      <c r="U50"/>
    </row>
    <row r="51" spans="1:21">
      <c r="A51" s="1" t="s">
        <v>10</v>
      </c>
      <c r="B51" s="7">
        <v>46036</v>
      </c>
      <c r="C51" s="5">
        <f>COUNTIF(B$4:B51,B51)</f>
        <v>1</v>
      </c>
      <c r="D51" s="12">
        <v>1100000</v>
      </c>
      <c r="E51" s="8">
        <v>14100</v>
      </c>
      <c r="F51" s="8">
        <v>41</v>
      </c>
      <c r="G51" s="8">
        <v>498</v>
      </c>
      <c r="H51" s="8">
        <v>72826</v>
      </c>
      <c r="I51" s="8">
        <v>10900</v>
      </c>
      <c r="J51" s="8">
        <v>16</v>
      </c>
      <c r="M51" s="9">
        <v>46037</v>
      </c>
      <c r="N51">
        <v>155748</v>
      </c>
      <c r="O51">
        <v>63480</v>
      </c>
      <c r="P51">
        <v>18635</v>
      </c>
      <c r="Q51"/>
      <c r="R51"/>
      <c r="S51"/>
      <c r="T51"/>
      <c r="U51"/>
    </row>
    <row r="52" spans="1:21">
      <c r="A52" s="1" t="s">
        <v>10</v>
      </c>
      <c r="B52" s="4">
        <v>46037</v>
      </c>
      <c r="C52" s="5">
        <f>COUNTIF(B$4:B52,B52)</f>
        <v>1</v>
      </c>
      <c r="D52" s="11">
        <v>1200000</v>
      </c>
      <c r="E52" s="6">
        <v>16600</v>
      </c>
      <c r="F52" s="6">
        <v>40</v>
      </c>
      <c r="G52" s="6">
        <v>386</v>
      </c>
      <c r="H52" s="6">
        <v>63480</v>
      </c>
      <c r="I52" s="6">
        <v>11300</v>
      </c>
      <c r="J52" s="6">
        <v>20</v>
      </c>
      <c r="M52" s="9">
        <v>46038</v>
      </c>
      <c r="N52">
        <v>172270</v>
      </c>
      <c r="O52">
        <v>65928</v>
      </c>
      <c r="P52"/>
      <c r="Q52"/>
      <c r="R52"/>
      <c r="S52"/>
      <c r="T52"/>
      <c r="U52"/>
    </row>
    <row r="53" spans="1:21">
      <c r="A53" s="1" t="s">
        <v>10</v>
      </c>
      <c r="B53" s="7">
        <v>46038</v>
      </c>
      <c r="C53" s="5">
        <f>COUNTIF(B$4:B53,B53)</f>
        <v>1</v>
      </c>
      <c r="D53" s="12">
        <v>1100000</v>
      </c>
      <c r="E53" s="8">
        <v>17300</v>
      </c>
      <c r="F53" s="8">
        <v>44</v>
      </c>
      <c r="G53" s="8">
        <v>396</v>
      </c>
      <c r="H53" s="8">
        <v>65928</v>
      </c>
      <c r="I53" s="8">
        <v>10200</v>
      </c>
      <c r="J53" s="8">
        <v>23</v>
      </c>
      <c r="M53" s="9">
        <v>46039</v>
      </c>
      <c r="N53">
        <v>187655</v>
      </c>
      <c r="O53">
        <v>60974</v>
      </c>
      <c r="P53">
        <v>23581</v>
      </c>
      <c r="Q53"/>
      <c r="R53"/>
      <c r="S53"/>
      <c r="T53"/>
      <c r="U53"/>
    </row>
    <row r="54" spans="1:21">
      <c r="A54" s="1" t="s">
        <v>10</v>
      </c>
      <c r="B54" s="4">
        <v>46039</v>
      </c>
      <c r="C54" s="5">
        <f>COUNTIF(B$4:B54,B54)</f>
        <v>1</v>
      </c>
      <c r="D54" s="11">
        <v>1700000</v>
      </c>
      <c r="E54" s="6">
        <v>19200</v>
      </c>
      <c r="F54" s="6">
        <v>40</v>
      </c>
      <c r="G54" s="6">
        <v>368</v>
      </c>
      <c r="H54" s="6">
        <v>60974</v>
      </c>
      <c r="I54" s="6">
        <v>10400</v>
      </c>
      <c r="J54" s="6">
        <v>22</v>
      </c>
      <c r="M54" s="9">
        <v>46040</v>
      </c>
      <c r="N54">
        <v>114768</v>
      </c>
      <c r="O54"/>
      <c r="P54">
        <v>23344</v>
      </c>
      <c r="Q54"/>
      <c r="R54"/>
      <c r="S54"/>
      <c r="T54"/>
      <c r="U54"/>
    </row>
    <row r="55" spans="1:21">
      <c r="A55" s="1" t="s">
        <v>10</v>
      </c>
      <c r="B55" s="7">
        <v>46042</v>
      </c>
      <c r="C55" s="5">
        <f>COUNTIF(B$4:B55,B55)</f>
        <v>1</v>
      </c>
      <c r="D55" s="12">
        <v>1400000</v>
      </c>
      <c r="E55" s="8">
        <v>20800</v>
      </c>
      <c r="F55" s="8">
        <v>42</v>
      </c>
      <c r="G55" s="8">
        <v>360</v>
      </c>
      <c r="H55" s="8">
        <v>66355</v>
      </c>
      <c r="I55" s="8">
        <v>10700</v>
      </c>
      <c r="J55" s="8">
        <v>20</v>
      </c>
      <c r="M55" s="9">
        <v>46041</v>
      </c>
      <c r="N55"/>
      <c r="O55"/>
      <c r="P55">
        <v>48730</v>
      </c>
      <c r="Q55"/>
      <c r="R55"/>
      <c r="S55"/>
      <c r="T55"/>
      <c r="U55"/>
    </row>
    <row r="56" spans="1:21">
      <c r="A56" s="1" t="s">
        <v>10</v>
      </c>
      <c r="B56" s="4">
        <v>46043</v>
      </c>
      <c r="C56" s="5">
        <f>COUNTIF(B$4:B56,B56)</f>
        <v>1</v>
      </c>
      <c r="D56" s="11">
        <v>1500000</v>
      </c>
      <c r="E56" s="6">
        <v>22000</v>
      </c>
      <c r="F56" s="6">
        <v>45</v>
      </c>
      <c r="G56" s="6">
        <v>401</v>
      </c>
      <c r="H56" s="6">
        <v>67469</v>
      </c>
      <c r="I56" s="6">
        <v>12400</v>
      </c>
      <c r="J56" s="6">
        <v>25</v>
      </c>
      <c r="M56" s="9">
        <v>46042</v>
      </c>
      <c r="N56">
        <v>185452</v>
      </c>
      <c r="O56">
        <v>66355</v>
      </c>
      <c r="P56">
        <v>24068</v>
      </c>
      <c r="Q56"/>
      <c r="R56"/>
      <c r="S56"/>
      <c r="T56"/>
      <c r="U56"/>
    </row>
    <row r="57" spans="1:21">
      <c r="A57" s="1" t="s">
        <v>10</v>
      </c>
      <c r="B57" s="7">
        <v>46044</v>
      </c>
      <c r="C57" s="5">
        <f>COUNTIF(B$4:B57,B57)</f>
        <v>1</v>
      </c>
      <c r="D57" s="12">
        <v>1300000</v>
      </c>
      <c r="E57" s="8">
        <v>14500</v>
      </c>
      <c r="F57" s="8">
        <v>42</v>
      </c>
      <c r="G57" s="8">
        <v>397</v>
      </c>
      <c r="H57" s="8">
        <v>65375</v>
      </c>
      <c r="I57" s="8">
        <v>10200</v>
      </c>
      <c r="J57" s="8">
        <v>24</v>
      </c>
      <c r="M57" s="9">
        <v>46043</v>
      </c>
      <c r="N57">
        <v>189653</v>
      </c>
      <c r="O57">
        <v>67469</v>
      </c>
      <c r="P57">
        <v>18805</v>
      </c>
      <c r="Q57"/>
      <c r="R57"/>
      <c r="S57"/>
      <c r="T57"/>
      <c r="U57"/>
    </row>
    <row r="58" spans="1:21">
      <c r="A58" s="1" t="s">
        <v>10</v>
      </c>
      <c r="B58" s="4">
        <v>46045</v>
      </c>
      <c r="C58" s="5">
        <f>COUNTIF(B$4:B58,B58)</f>
        <v>1</v>
      </c>
      <c r="D58" s="11">
        <v>756400</v>
      </c>
      <c r="E58" s="6">
        <v>14700</v>
      </c>
      <c r="F58" s="6">
        <v>29</v>
      </c>
      <c r="G58" s="6">
        <v>192</v>
      </c>
      <c r="H58" s="6">
        <v>66339</v>
      </c>
      <c r="I58" s="6">
        <v>7670</v>
      </c>
      <c r="J58" s="6">
        <v>16</v>
      </c>
      <c r="M58" s="9">
        <v>46044</v>
      </c>
      <c r="N58">
        <v>199152</v>
      </c>
      <c r="O58">
        <v>65375</v>
      </c>
      <c r="P58">
        <v>23622</v>
      </c>
      <c r="Q58"/>
      <c r="R58"/>
      <c r="S58"/>
      <c r="T58"/>
      <c r="U58"/>
    </row>
    <row r="59" spans="1:21">
      <c r="A59" s="1" t="s">
        <v>10</v>
      </c>
      <c r="B59" s="7">
        <v>46046</v>
      </c>
      <c r="C59" s="5">
        <f>COUNTIF(B$4:B59,B59)</f>
        <v>1</v>
      </c>
      <c r="D59" s="12">
        <v>1000000</v>
      </c>
      <c r="E59" s="8">
        <v>15200</v>
      </c>
      <c r="F59" s="8">
        <v>36</v>
      </c>
      <c r="G59" s="8">
        <v>328</v>
      </c>
      <c r="H59" s="8">
        <v>70717</v>
      </c>
      <c r="I59" s="8">
        <v>9194</v>
      </c>
      <c r="J59" s="8">
        <v>16</v>
      </c>
      <c r="M59" s="9">
        <v>46045</v>
      </c>
      <c r="N59">
        <v>184507</v>
      </c>
      <c r="O59">
        <v>66339</v>
      </c>
      <c r="P59"/>
      <c r="Q59"/>
      <c r="R59"/>
      <c r="S59"/>
      <c r="T59"/>
      <c r="U59"/>
    </row>
    <row r="60" spans="1:21">
      <c r="A60" s="1" t="s">
        <v>10</v>
      </c>
      <c r="B60" s="7">
        <v>46049</v>
      </c>
      <c r="C60" s="5">
        <f>COUNTIF(B$4:B60,B60)</f>
        <v>1</v>
      </c>
      <c r="D60" s="12">
        <v>4700000</v>
      </c>
      <c r="E60" s="8">
        <v>28000</v>
      </c>
      <c r="F60" s="8">
        <v>41</v>
      </c>
      <c r="G60" s="8">
        <v>568</v>
      </c>
      <c r="H60" s="8">
        <v>74060</v>
      </c>
      <c r="I60" s="8">
        <v>11900</v>
      </c>
      <c r="J60" s="8">
        <v>21</v>
      </c>
      <c r="M60" s="9">
        <v>46046</v>
      </c>
      <c r="N60">
        <v>208760</v>
      </c>
      <c r="O60">
        <v>70717</v>
      </c>
      <c r="P60">
        <v>27646</v>
      </c>
      <c r="Q60"/>
      <c r="R60"/>
      <c r="S60"/>
      <c r="T60"/>
      <c r="U60"/>
    </row>
    <row r="61" spans="1:21">
      <c r="A61" s="1" t="s">
        <v>10</v>
      </c>
      <c r="B61" s="4">
        <v>46050</v>
      </c>
      <c r="C61" s="5">
        <f>COUNTIF(B$4:B61,B61)</f>
        <v>1</v>
      </c>
      <c r="D61" s="11">
        <v>1200000</v>
      </c>
      <c r="E61" s="6">
        <v>16300</v>
      </c>
      <c r="F61" s="6">
        <v>40</v>
      </c>
      <c r="G61" s="6">
        <v>338</v>
      </c>
      <c r="H61" s="6">
        <v>69144</v>
      </c>
      <c r="I61" s="6">
        <v>10300</v>
      </c>
      <c r="J61" s="6">
        <v>23</v>
      </c>
      <c r="M61" s="9">
        <v>46047</v>
      </c>
      <c r="N61">
        <v>64297</v>
      </c>
      <c r="O61"/>
      <c r="P61">
        <v>15968</v>
      </c>
      <c r="Q61"/>
      <c r="R61"/>
      <c r="S61"/>
      <c r="T61"/>
      <c r="U61"/>
    </row>
    <row r="62" spans="1:21">
      <c r="A62" s="1" t="s">
        <v>10</v>
      </c>
      <c r="B62" s="7">
        <v>46052</v>
      </c>
      <c r="C62" s="5">
        <f>COUNTIF(B$4:B62,B62)</f>
        <v>1</v>
      </c>
      <c r="D62" s="12">
        <v>3400000</v>
      </c>
      <c r="E62" s="8">
        <v>17900</v>
      </c>
      <c r="F62" s="8">
        <v>32</v>
      </c>
      <c r="G62" s="8">
        <v>334</v>
      </c>
      <c r="H62" s="8">
        <v>66812</v>
      </c>
      <c r="I62" s="8">
        <v>9369</v>
      </c>
      <c r="J62" s="8">
        <v>19</v>
      </c>
      <c r="M62" s="9">
        <v>46048</v>
      </c>
      <c r="N62"/>
      <c r="O62"/>
      <c r="P62">
        <v>28243</v>
      </c>
      <c r="Q62"/>
      <c r="R62"/>
      <c r="S62"/>
      <c r="T62"/>
      <c r="U62"/>
    </row>
    <row r="63" spans="1:21">
      <c r="A63" s="1" t="s">
        <v>10</v>
      </c>
      <c r="B63" s="4">
        <v>46053</v>
      </c>
      <c r="C63" s="5">
        <f>COUNTIF(B$4:B63,B63)</f>
        <v>1</v>
      </c>
      <c r="D63" s="11">
        <v>1500000</v>
      </c>
      <c r="E63" s="6">
        <v>23300</v>
      </c>
      <c r="F63" s="6">
        <v>35</v>
      </c>
      <c r="G63" s="6">
        <v>213</v>
      </c>
      <c r="H63" s="6">
        <v>69534</v>
      </c>
      <c r="I63" s="6">
        <v>9963</v>
      </c>
      <c r="J63" s="6">
        <v>20</v>
      </c>
      <c r="M63" s="9">
        <v>46049</v>
      </c>
      <c r="N63">
        <v>142376</v>
      </c>
      <c r="O63">
        <v>74060</v>
      </c>
      <c r="P63">
        <v>25343</v>
      </c>
      <c r="Q63"/>
      <c r="R63"/>
      <c r="S63"/>
      <c r="T63"/>
      <c r="U63"/>
    </row>
    <row r="64" spans="1:21">
      <c r="A64" s="1" t="s">
        <v>10</v>
      </c>
      <c r="B64" s="7">
        <v>46054</v>
      </c>
      <c r="C64" s="5">
        <f>COUNTIF(B$4:B64,B64)</f>
        <v>1</v>
      </c>
      <c r="D64" s="12">
        <v>1300000</v>
      </c>
      <c r="E64" s="8">
        <v>18800</v>
      </c>
      <c r="F64" s="8">
        <v>39</v>
      </c>
      <c r="G64" s="8">
        <v>277</v>
      </c>
      <c r="H64" s="8">
        <v>72354</v>
      </c>
      <c r="I64" s="8">
        <v>10700</v>
      </c>
      <c r="J64" s="8">
        <v>21</v>
      </c>
      <c r="M64" s="9">
        <v>46050</v>
      </c>
      <c r="N64">
        <v>156130</v>
      </c>
      <c r="O64">
        <v>69144</v>
      </c>
      <c r="P64">
        <v>22311</v>
      </c>
      <c r="Q64"/>
      <c r="R64"/>
      <c r="S64"/>
      <c r="T64"/>
      <c r="U64"/>
    </row>
    <row r="65" spans="1:21">
      <c r="A65" s="1" t="s">
        <v>10</v>
      </c>
      <c r="B65" s="4">
        <v>46056</v>
      </c>
      <c r="C65" s="5">
        <f>COUNTIF(B$4:B65,B65)</f>
        <v>1</v>
      </c>
      <c r="D65" s="11">
        <v>1000000</v>
      </c>
      <c r="E65" s="6">
        <v>16400</v>
      </c>
      <c r="F65" s="6">
        <v>34</v>
      </c>
      <c r="G65" s="6">
        <v>311</v>
      </c>
      <c r="H65" s="6">
        <v>65326</v>
      </c>
      <c r="I65" s="6">
        <v>9412</v>
      </c>
      <c r="J65" s="6">
        <v>22</v>
      </c>
      <c r="M65" s="9">
        <v>46051</v>
      </c>
      <c r="N65">
        <v>200496</v>
      </c>
      <c r="O65"/>
      <c r="P65">
        <v>21427</v>
      </c>
      <c r="Q65"/>
      <c r="R65"/>
      <c r="S65"/>
      <c r="T65"/>
      <c r="U65"/>
    </row>
    <row r="66" spans="1:21">
      <c r="A66" s="1" t="s">
        <v>10</v>
      </c>
      <c r="B66" s="7">
        <v>46057</v>
      </c>
      <c r="C66" s="5">
        <f>COUNTIF(B$4:B66,B66)</f>
        <v>1</v>
      </c>
      <c r="D66" s="12">
        <v>1400000</v>
      </c>
      <c r="E66" s="8">
        <v>20800</v>
      </c>
      <c r="F66" s="8">
        <v>38</v>
      </c>
      <c r="G66" s="8">
        <v>297</v>
      </c>
      <c r="H66" s="8">
        <v>66494</v>
      </c>
      <c r="I66" s="8">
        <v>12000</v>
      </c>
      <c r="J66" s="8">
        <v>25</v>
      </c>
      <c r="M66" s="9">
        <v>46052</v>
      </c>
      <c r="N66">
        <v>202174</v>
      </c>
      <c r="O66">
        <v>66812</v>
      </c>
      <c r="P66"/>
      <c r="Q66"/>
      <c r="R66"/>
      <c r="S66"/>
      <c r="T66"/>
      <c r="U66"/>
    </row>
    <row r="67" spans="1:21">
      <c r="A67" s="1" t="s">
        <v>10</v>
      </c>
      <c r="B67" s="4">
        <v>46058</v>
      </c>
      <c r="C67" s="5">
        <f>COUNTIF(B$4:B67,B67)</f>
        <v>1</v>
      </c>
      <c r="D67" s="11">
        <v>1200000</v>
      </c>
      <c r="E67" s="6">
        <v>17500</v>
      </c>
      <c r="F67" s="6">
        <v>38</v>
      </c>
      <c r="G67" s="6">
        <v>331</v>
      </c>
      <c r="H67" s="6">
        <v>65499</v>
      </c>
      <c r="I67" s="6">
        <v>11500</v>
      </c>
      <c r="J67" s="6">
        <v>26</v>
      </c>
      <c r="M67" s="9">
        <v>46053</v>
      </c>
      <c r="N67">
        <v>147086</v>
      </c>
      <c r="O67">
        <v>69534</v>
      </c>
      <c r="P67">
        <v>15385</v>
      </c>
      <c r="Q67"/>
      <c r="R67"/>
      <c r="S67"/>
      <c r="T67"/>
      <c r="U67"/>
    </row>
    <row r="68" spans="1:21">
      <c r="A68" s="1" t="s">
        <v>10</v>
      </c>
      <c r="B68" s="7">
        <v>46059</v>
      </c>
      <c r="C68" s="5">
        <f>COUNTIF(B$4:B68,B68)</f>
        <v>1</v>
      </c>
      <c r="D68" s="12">
        <v>862100</v>
      </c>
      <c r="E68" s="8">
        <v>18800</v>
      </c>
      <c r="F68" s="8">
        <v>35</v>
      </c>
      <c r="G68" s="8">
        <v>288</v>
      </c>
      <c r="H68" s="8">
        <v>60834</v>
      </c>
      <c r="I68" s="8">
        <v>10200</v>
      </c>
      <c r="J68" s="8">
        <v>25</v>
      </c>
      <c r="M68" s="9">
        <v>46054</v>
      </c>
      <c r="N68">
        <v>160228</v>
      </c>
      <c r="O68">
        <v>72354</v>
      </c>
      <c r="P68">
        <v>28624</v>
      </c>
      <c r="Q68"/>
      <c r="R68"/>
      <c r="S68"/>
      <c r="T68"/>
      <c r="U68"/>
    </row>
    <row r="69" spans="1:21">
      <c r="A69" s="1" t="s">
        <v>10</v>
      </c>
      <c r="B69" s="4">
        <v>46060</v>
      </c>
      <c r="C69" s="5">
        <f>COUNTIF(B$4:B69,B69)</f>
        <v>1</v>
      </c>
      <c r="D69" s="11">
        <v>1300000</v>
      </c>
      <c r="E69" s="6">
        <v>17600</v>
      </c>
      <c r="F69" s="6">
        <v>32</v>
      </c>
      <c r="G69" s="6">
        <v>262</v>
      </c>
      <c r="H69" s="6">
        <v>59171</v>
      </c>
      <c r="I69" s="6">
        <v>9486</v>
      </c>
      <c r="J69" s="6">
        <v>23</v>
      </c>
      <c r="M69" s="9">
        <v>46055</v>
      </c>
      <c r="N69"/>
      <c r="O69"/>
      <c r="P69">
        <v>30921</v>
      </c>
      <c r="Q69"/>
      <c r="R69"/>
      <c r="S69"/>
      <c r="T69"/>
      <c r="U69"/>
    </row>
    <row r="70" spans="1:21">
      <c r="A70" s="1" t="s">
        <v>10</v>
      </c>
      <c r="B70" s="7">
        <v>46061</v>
      </c>
      <c r="C70" s="5">
        <f>COUNTIF(B$4:B70,B70)</f>
        <v>1</v>
      </c>
      <c r="D70" s="12">
        <v>4000000</v>
      </c>
      <c r="E70" s="8">
        <v>19900</v>
      </c>
      <c r="F70" s="8">
        <v>36</v>
      </c>
      <c r="G70" s="8">
        <v>336</v>
      </c>
      <c r="H70" s="8">
        <v>61584</v>
      </c>
      <c r="I70" s="8">
        <v>11100</v>
      </c>
      <c r="J70" s="8">
        <v>26</v>
      </c>
      <c r="M70" s="9">
        <v>46056</v>
      </c>
      <c r="N70">
        <v>217011</v>
      </c>
      <c r="O70">
        <v>65326</v>
      </c>
      <c r="P70">
        <v>50053</v>
      </c>
      <c r="Q70"/>
      <c r="R70"/>
      <c r="S70"/>
      <c r="T70"/>
      <c r="U70"/>
    </row>
    <row r="71" spans="1:21">
      <c r="A71" s="1" t="s">
        <v>10</v>
      </c>
      <c r="B71" s="4">
        <v>46063</v>
      </c>
      <c r="C71" s="5">
        <f>COUNTIF(B$4:B71,B71)</f>
        <v>1</v>
      </c>
      <c r="D71" s="11">
        <v>1500000</v>
      </c>
      <c r="E71" s="6">
        <v>22100</v>
      </c>
      <c r="F71" s="6">
        <v>36</v>
      </c>
      <c r="G71" s="6">
        <v>550</v>
      </c>
      <c r="H71" s="6">
        <v>84129</v>
      </c>
      <c r="I71" s="6">
        <v>11500</v>
      </c>
      <c r="J71" s="6">
        <v>25</v>
      </c>
      <c r="M71" s="9">
        <v>46057</v>
      </c>
      <c r="N71">
        <v>232637</v>
      </c>
      <c r="O71">
        <v>66494</v>
      </c>
      <c r="P71">
        <v>52016</v>
      </c>
      <c r="Q71"/>
      <c r="R71"/>
      <c r="S71"/>
      <c r="T71"/>
      <c r="U71"/>
    </row>
    <row r="72" spans="1:21">
      <c r="A72" s="1" t="s">
        <v>10</v>
      </c>
      <c r="B72" s="7">
        <v>46064</v>
      </c>
      <c r="C72" s="5">
        <f>COUNTIF(B$4:B72,B72)</f>
        <v>1</v>
      </c>
      <c r="D72" s="12">
        <v>1000000</v>
      </c>
      <c r="E72" s="8">
        <v>19000</v>
      </c>
      <c r="F72" s="8">
        <v>29</v>
      </c>
      <c r="G72" s="8">
        <v>251</v>
      </c>
      <c r="H72" s="8">
        <v>64281</v>
      </c>
      <c r="I72" s="8">
        <v>9875</v>
      </c>
      <c r="J72" s="8">
        <v>20</v>
      </c>
      <c r="M72" s="9">
        <v>46058</v>
      </c>
      <c r="N72">
        <v>208647</v>
      </c>
      <c r="O72">
        <v>65499</v>
      </c>
      <c r="P72">
        <v>23087</v>
      </c>
      <c r="Q72"/>
      <c r="R72"/>
      <c r="S72"/>
      <c r="T72"/>
      <c r="U72"/>
    </row>
    <row r="73" spans="1:21">
      <c r="A73" s="1" t="s">
        <v>10</v>
      </c>
      <c r="B73" s="4">
        <v>46065</v>
      </c>
      <c r="C73" s="5">
        <f>COUNTIF(B$4:B73,B73)</f>
        <v>1</v>
      </c>
      <c r="D73" s="11">
        <v>1000000</v>
      </c>
      <c r="E73" s="6">
        <v>12300</v>
      </c>
      <c r="F73" s="6">
        <v>26</v>
      </c>
      <c r="G73" s="6">
        <v>225</v>
      </c>
      <c r="H73" s="6">
        <v>64119</v>
      </c>
      <c r="I73" s="6">
        <v>9377</v>
      </c>
      <c r="J73" s="6">
        <v>16</v>
      </c>
      <c r="M73" s="9">
        <v>46059</v>
      </c>
      <c r="N73">
        <v>213894</v>
      </c>
      <c r="O73">
        <v>60834</v>
      </c>
      <c r="P73"/>
      <c r="Q73"/>
      <c r="R73"/>
      <c r="S73"/>
      <c r="T73"/>
      <c r="U73"/>
    </row>
    <row r="74" spans="1:21">
      <c r="A74" s="1" t="s">
        <v>10</v>
      </c>
      <c r="B74" s="7">
        <v>46072</v>
      </c>
      <c r="C74" s="5">
        <f>COUNTIF(B$4:B74,B74)</f>
        <v>1</v>
      </c>
      <c r="D74" s="12">
        <v>535800</v>
      </c>
      <c r="E74" s="8">
        <v>10200</v>
      </c>
      <c r="F74" s="8">
        <v>23</v>
      </c>
      <c r="G74" s="8">
        <v>264</v>
      </c>
      <c r="H74" s="8">
        <v>49228</v>
      </c>
      <c r="I74" s="8">
        <v>6331</v>
      </c>
      <c r="J74" s="8">
        <v>13</v>
      </c>
      <c r="M74" s="9">
        <v>46060</v>
      </c>
      <c r="N74">
        <v>205523</v>
      </c>
      <c r="O74">
        <v>59171</v>
      </c>
      <c r="P74">
        <v>62962</v>
      </c>
      <c r="Q74"/>
      <c r="R74"/>
      <c r="S74"/>
      <c r="T74"/>
      <c r="U74"/>
    </row>
    <row r="75" spans="1:21">
      <c r="A75" s="1" t="s">
        <v>10</v>
      </c>
      <c r="B75" s="4">
        <v>46075</v>
      </c>
      <c r="C75" s="5">
        <f>COUNTIF(B$4:B75,B75)</f>
        <v>1</v>
      </c>
      <c r="D75" s="11">
        <v>901300</v>
      </c>
      <c r="E75" s="6">
        <v>11200</v>
      </c>
      <c r="F75" s="6">
        <v>31</v>
      </c>
      <c r="G75" s="6">
        <v>302</v>
      </c>
      <c r="H75" s="6">
        <v>54707</v>
      </c>
      <c r="I75" s="6">
        <v>8866</v>
      </c>
      <c r="J75" s="6">
        <v>21</v>
      </c>
      <c r="M75" s="9">
        <v>46061</v>
      </c>
      <c r="N75">
        <v>208402</v>
      </c>
      <c r="O75">
        <v>61584</v>
      </c>
      <c r="P75">
        <v>65965</v>
      </c>
      <c r="Q75"/>
      <c r="R75"/>
      <c r="S75"/>
      <c r="T75"/>
      <c r="U75"/>
    </row>
    <row r="76" spans="1:21">
      <c r="A76" s="1" t="s">
        <v>10</v>
      </c>
      <c r="B76" s="7">
        <v>46076</v>
      </c>
      <c r="C76" s="5">
        <f>COUNTIF(B$4:B76,B76)</f>
        <v>1</v>
      </c>
      <c r="D76" s="12">
        <v>1000000</v>
      </c>
      <c r="E76" s="8">
        <v>7833</v>
      </c>
      <c r="F76" s="8">
        <v>15</v>
      </c>
      <c r="G76" s="8">
        <v>342</v>
      </c>
      <c r="H76" s="8">
        <v>89035</v>
      </c>
      <c r="I76" s="8">
        <v>8938</v>
      </c>
      <c r="J76" s="8">
        <v>9</v>
      </c>
      <c r="M76" s="9">
        <v>46062</v>
      </c>
      <c r="N76"/>
      <c r="O76"/>
      <c r="P76">
        <v>62996</v>
      </c>
      <c r="Q76"/>
      <c r="R76"/>
      <c r="S76"/>
      <c r="T76"/>
      <c r="U76"/>
    </row>
    <row r="77" spans="1:21">
      <c r="A77" s="1" t="s">
        <v>10</v>
      </c>
      <c r="B77" s="4">
        <v>46077</v>
      </c>
      <c r="C77" s="5">
        <f>COUNTIF(B$4:B77,B77)</f>
        <v>1</v>
      </c>
      <c r="D77" s="11">
        <v>947500</v>
      </c>
      <c r="E77" s="6">
        <v>14500</v>
      </c>
      <c r="F77" s="6">
        <v>30</v>
      </c>
      <c r="G77" s="6">
        <v>157</v>
      </c>
      <c r="H77" s="6">
        <v>53597</v>
      </c>
      <c r="I77" s="6">
        <v>8315</v>
      </c>
      <c r="J77" s="6">
        <v>22</v>
      </c>
      <c r="M77" s="9">
        <v>46063</v>
      </c>
      <c r="N77">
        <v>150390</v>
      </c>
      <c r="O77">
        <v>84129</v>
      </c>
      <c r="P77">
        <v>62433</v>
      </c>
      <c r="Q77"/>
      <c r="R77"/>
      <c r="S77"/>
      <c r="T77"/>
      <c r="U77"/>
    </row>
    <row r="78" spans="1:21">
      <c r="A78" s="1" t="s">
        <v>10</v>
      </c>
      <c r="B78" s="7">
        <v>46078</v>
      </c>
      <c r="C78" s="5">
        <f>COUNTIF(B$4:B78,B78)</f>
        <v>1</v>
      </c>
      <c r="D78" s="12">
        <v>738600</v>
      </c>
      <c r="E78" s="8">
        <v>9170</v>
      </c>
      <c r="F78" s="8">
        <v>27</v>
      </c>
      <c r="G78" s="8">
        <v>140</v>
      </c>
      <c r="H78" s="8">
        <v>63917</v>
      </c>
      <c r="I78" s="8">
        <v>7165</v>
      </c>
      <c r="J78" s="8">
        <v>20</v>
      </c>
      <c r="M78" s="9">
        <v>46064</v>
      </c>
      <c r="N78">
        <v>205795</v>
      </c>
      <c r="O78">
        <v>64281</v>
      </c>
      <c r="P78">
        <v>50018</v>
      </c>
      <c r="Q78"/>
      <c r="R78"/>
      <c r="S78"/>
      <c r="T78"/>
      <c r="U78"/>
    </row>
    <row r="79" spans="1:21">
      <c r="A79" s="1" t="s">
        <v>10</v>
      </c>
      <c r="B79" s="4">
        <v>46079</v>
      </c>
      <c r="C79" s="5">
        <f>COUNTIF(B$4:B79,B79)</f>
        <v>1</v>
      </c>
      <c r="D79" s="11">
        <v>1100000</v>
      </c>
      <c r="E79" s="6">
        <v>9704</v>
      </c>
      <c r="F79" s="6">
        <v>32</v>
      </c>
      <c r="G79" s="6">
        <v>130</v>
      </c>
      <c r="H79" s="6">
        <v>48036</v>
      </c>
      <c r="I79" s="6">
        <v>8475</v>
      </c>
      <c r="J79" s="6">
        <v>24</v>
      </c>
      <c r="M79" s="9">
        <v>46065</v>
      </c>
      <c r="N79">
        <v>198986</v>
      </c>
      <c r="O79">
        <v>64119</v>
      </c>
      <c r="P79">
        <v>59694</v>
      </c>
      <c r="Q79"/>
      <c r="R79"/>
      <c r="S79"/>
      <c r="T79"/>
      <c r="U79"/>
    </row>
    <row r="80" spans="1:21">
      <c r="A80" s="1" t="s">
        <v>10</v>
      </c>
      <c r="B80" s="7">
        <v>46080</v>
      </c>
      <c r="C80" s="5">
        <f>COUNTIF(B$4:B80,B80)</f>
        <v>1</v>
      </c>
      <c r="D80" s="12">
        <v>1300000</v>
      </c>
      <c r="E80" s="8">
        <v>8905</v>
      </c>
      <c r="F80" s="8">
        <v>29</v>
      </c>
      <c r="G80" s="8">
        <v>149</v>
      </c>
      <c r="H80" s="8">
        <v>49113</v>
      </c>
      <c r="I80" s="8">
        <v>6756</v>
      </c>
      <c r="J80" s="8">
        <v>22</v>
      </c>
      <c r="M80" s="9">
        <v>46066</v>
      </c>
      <c r="N80">
        <v>200308</v>
      </c>
      <c r="O80"/>
      <c r="P80"/>
      <c r="Q80"/>
      <c r="R80"/>
      <c r="S80"/>
      <c r="T80"/>
      <c r="U80"/>
    </row>
    <row r="81" spans="1:21">
      <c r="A81" s="1" t="s">
        <v>10</v>
      </c>
      <c r="B81" s="4">
        <v>46081</v>
      </c>
      <c r="C81" s="5">
        <f>COUNTIF(B$4:B81,B81)</f>
        <v>1</v>
      </c>
      <c r="D81" s="11">
        <v>994600</v>
      </c>
      <c r="E81" s="6">
        <v>8796</v>
      </c>
      <c r="F81" s="6">
        <v>28</v>
      </c>
      <c r="G81" s="6">
        <v>130</v>
      </c>
      <c r="H81" s="6">
        <v>42829</v>
      </c>
      <c r="I81" s="6">
        <v>6509</v>
      </c>
      <c r="J81" s="6">
        <v>21</v>
      </c>
      <c r="M81" s="9">
        <v>46068</v>
      </c>
      <c r="N81">
        <v>89239</v>
      </c>
      <c r="O81"/>
      <c r="P81">
        <v>36874</v>
      </c>
      <c r="Q81"/>
      <c r="R81"/>
      <c r="S81"/>
      <c r="T81"/>
      <c r="U81"/>
    </row>
    <row r="82" spans="1:21">
      <c r="A82" s="1" t="s">
        <v>10</v>
      </c>
      <c r="B82" s="7">
        <v>46082</v>
      </c>
      <c r="C82" s="5">
        <f>COUNTIF(B$4:B82,B82)</f>
        <v>1</v>
      </c>
      <c r="D82" s="12">
        <v>1700000</v>
      </c>
      <c r="E82" s="8">
        <v>21900</v>
      </c>
      <c r="F82" s="8">
        <v>39</v>
      </c>
      <c r="G82" s="8">
        <v>206</v>
      </c>
      <c r="H82" s="8">
        <v>58525</v>
      </c>
      <c r="I82" s="8">
        <v>10200</v>
      </c>
      <c r="J82" s="8">
        <v>31</v>
      </c>
      <c r="M82" s="9">
        <v>46069</v>
      </c>
      <c r="N82">
        <v>134912</v>
      </c>
      <c r="O82"/>
      <c r="P82">
        <v>41170</v>
      </c>
      <c r="Q82"/>
      <c r="R82"/>
      <c r="S82"/>
      <c r="T82"/>
      <c r="U82"/>
    </row>
    <row r="83" spans="1:21">
      <c r="A83" s="1" t="s">
        <v>10</v>
      </c>
      <c r="B83" s="4">
        <v>46087</v>
      </c>
      <c r="C83" s="5">
        <f>COUNTIF(B$4:B83,B83)</f>
        <v>1</v>
      </c>
      <c r="D83" s="11">
        <v>1300000</v>
      </c>
      <c r="E83" s="6">
        <v>12800</v>
      </c>
      <c r="F83" s="6">
        <v>32</v>
      </c>
      <c r="G83" s="6">
        <v>165</v>
      </c>
      <c r="H83" s="6">
        <v>48493</v>
      </c>
      <c r="I83" s="6">
        <v>7317</v>
      </c>
      <c r="J83" s="6">
        <v>25</v>
      </c>
      <c r="M83" s="9">
        <v>46070</v>
      </c>
      <c r="N83"/>
      <c r="O83"/>
      <c r="P83">
        <v>26930</v>
      </c>
      <c r="Q83"/>
      <c r="R83"/>
      <c r="S83"/>
      <c r="T83"/>
      <c r="U83"/>
    </row>
    <row r="84" spans="1:21">
      <c r="A84" s="1" t="s">
        <v>10</v>
      </c>
      <c r="B84" s="7">
        <v>46088</v>
      </c>
      <c r="C84" s="5">
        <f>COUNTIF(B$4:B84,B84)</f>
        <v>1</v>
      </c>
      <c r="D84" s="12">
        <v>1300000</v>
      </c>
      <c r="E84" s="8">
        <v>12600</v>
      </c>
      <c r="F84" s="8">
        <v>30</v>
      </c>
      <c r="G84" s="8">
        <v>89</v>
      </c>
      <c r="H84" s="8">
        <v>39457</v>
      </c>
      <c r="I84" s="8">
        <v>8265</v>
      </c>
      <c r="J84" s="8">
        <v>23</v>
      </c>
      <c r="M84" s="9">
        <v>46072</v>
      </c>
      <c r="N84">
        <v>75209</v>
      </c>
      <c r="O84">
        <v>49228</v>
      </c>
      <c r="P84"/>
      <c r="Q84"/>
      <c r="R84"/>
      <c r="S84"/>
      <c r="T84"/>
      <c r="U84"/>
    </row>
    <row r="85" spans="1:21">
      <c r="A85" s="1" t="s">
        <v>10</v>
      </c>
      <c r="B85" s="4">
        <v>46089</v>
      </c>
      <c r="C85" s="5">
        <f>COUNTIF(B$4:B85,B85)</f>
        <v>1</v>
      </c>
      <c r="D85" s="11">
        <v>1100000</v>
      </c>
      <c r="E85" s="6">
        <v>10900</v>
      </c>
      <c r="F85" s="6">
        <v>27</v>
      </c>
      <c r="G85" s="6">
        <v>140</v>
      </c>
      <c r="H85" s="6">
        <v>48668</v>
      </c>
      <c r="I85" s="6">
        <v>8362</v>
      </c>
      <c r="J85" s="6">
        <v>27</v>
      </c>
      <c r="M85" s="9">
        <v>46073</v>
      </c>
      <c r="N85"/>
      <c r="O85"/>
      <c r="P85">
        <v>25466</v>
      </c>
      <c r="Q85"/>
      <c r="R85"/>
      <c r="S85"/>
      <c r="T85"/>
      <c r="U85"/>
    </row>
    <row r="86" spans="1:21">
      <c r="A86" s="1" t="s">
        <v>10</v>
      </c>
      <c r="B86" s="7">
        <v>46091</v>
      </c>
      <c r="C86" s="5">
        <f>COUNTIF(B$4:B86,B86)</f>
        <v>1</v>
      </c>
      <c r="D86" s="12">
        <v>1300000</v>
      </c>
      <c r="E86" s="8">
        <v>6746</v>
      </c>
      <c r="F86" s="8">
        <v>28</v>
      </c>
      <c r="G86" s="8">
        <v>115</v>
      </c>
      <c r="H86" s="8">
        <v>39961</v>
      </c>
      <c r="I86" s="8">
        <v>6559</v>
      </c>
      <c r="J86" s="8">
        <v>23</v>
      </c>
      <c r="M86" s="9">
        <v>46074</v>
      </c>
      <c r="N86"/>
      <c r="O86"/>
      <c r="P86">
        <v>30035</v>
      </c>
      <c r="Q86"/>
      <c r="R86"/>
      <c r="S86"/>
      <c r="T86"/>
      <c r="U86"/>
    </row>
    <row r="87" spans="1:21">
      <c r="A87" s="1" t="s">
        <v>10</v>
      </c>
      <c r="B87" s="4">
        <v>46092</v>
      </c>
      <c r="C87" s="5">
        <f>COUNTIF(B$4:B87,B87)</f>
        <v>1</v>
      </c>
      <c r="D87" s="11">
        <v>1000000</v>
      </c>
      <c r="E87" s="6">
        <v>9247</v>
      </c>
      <c r="F87" s="6">
        <v>30</v>
      </c>
      <c r="G87" s="6">
        <v>100</v>
      </c>
      <c r="H87" s="6">
        <v>41588</v>
      </c>
      <c r="I87" s="6">
        <v>8831</v>
      </c>
      <c r="J87" s="6">
        <v>23</v>
      </c>
      <c r="M87" s="9">
        <v>46075</v>
      </c>
      <c r="N87">
        <v>136015</v>
      </c>
      <c r="O87">
        <v>54707</v>
      </c>
      <c r="P87">
        <v>30186</v>
      </c>
      <c r="Q87"/>
      <c r="R87"/>
      <c r="S87"/>
      <c r="T87"/>
      <c r="U87"/>
    </row>
    <row r="88" spans="1:21">
      <c r="A88" s="1" t="s">
        <v>10</v>
      </c>
      <c r="B88" s="7">
        <v>46093</v>
      </c>
      <c r="C88" s="5">
        <f>COUNTIF(B$4:B88,B88)</f>
        <v>1</v>
      </c>
      <c r="D88" s="12">
        <v>1100000</v>
      </c>
      <c r="E88" s="8">
        <v>12900</v>
      </c>
      <c r="F88" s="8">
        <v>31</v>
      </c>
      <c r="G88" s="8">
        <v>147</v>
      </c>
      <c r="H88" s="8">
        <v>56795</v>
      </c>
      <c r="I88" s="8">
        <v>8453</v>
      </c>
      <c r="J88" s="8">
        <v>23</v>
      </c>
      <c r="M88" s="9">
        <v>46076</v>
      </c>
      <c r="N88">
        <v>128663</v>
      </c>
      <c r="O88">
        <v>89035</v>
      </c>
      <c r="P88">
        <v>57317</v>
      </c>
      <c r="Q88"/>
      <c r="R88"/>
      <c r="S88"/>
      <c r="T88"/>
      <c r="U88"/>
    </row>
    <row r="89" spans="1:21">
      <c r="A89" s="1" t="s">
        <v>10</v>
      </c>
      <c r="B89" s="4">
        <v>46094</v>
      </c>
      <c r="C89" s="5">
        <f>COUNTIF(B$4:B89,B89)</f>
        <v>1</v>
      </c>
      <c r="D89" s="11">
        <v>945200</v>
      </c>
      <c r="E89" s="6">
        <v>10300</v>
      </c>
      <c r="F89" s="6">
        <v>29</v>
      </c>
      <c r="G89" s="6">
        <v>117</v>
      </c>
      <c r="H89" s="6">
        <v>45180</v>
      </c>
      <c r="I89" s="6">
        <v>7918</v>
      </c>
      <c r="J89" s="6">
        <v>22</v>
      </c>
      <c r="M89" s="9">
        <v>46077</v>
      </c>
      <c r="N89">
        <v>168611</v>
      </c>
      <c r="O89">
        <v>53597</v>
      </c>
      <c r="P89">
        <v>52037</v>
      </c>
      <c r="Q89"/>
      <c r="R89"/>
      <c r="S89"/>
      <c r="T89"/>
      <c r="U89"/>
    </row>
    <row r="90" spans="1:21">
      <c r="A90" s="1" t="s">
        <v>10</v>
      </c>
      <c r="B90" s="7">
        <v>46095</v>
      </c>
      <c r="C90" s="5">
        <f>COUNTIF(B$4:B90,B90)</f>
        <v>1</v>
      </c>
      <c r="D90" s="12">
        <v>820500</v>
      </c>
      <c r="E90" s="8">
        <v>10300</v>
      </c>
      <c r="F90" s="8">
        <v>28</v>
      </c>
      <c r="G90" s="8">
        <v>128</v>
      </c>
      <c r="H90" s="8">
        <v>47292</v>
      </c>
      <c r="I90" s="8">
        <v>7031</v>
      </c>
      <c r="J90" s="8">
        <v>21</v>
      </c>
      <c r="M90" s="9">
        <v>46078</v>
      </c>
      <c r="N90">
        <v>150216</v>
      </c>
      <c r="O90">
        <v>63917</v>
      </c>
      <c r="P90">
        <v>48551</v>
      </c>
      <c r="Q90"/>
      <c r="R90"/>
      <c r="S90"/>
      <c r="T90"/>
      <c r="U90"/>
    </row>
    <row r="91" spans="1:21">
      <c r="A91" s="1" t="s">
        <v>10</v>
      </c>
      <c r="B91" s="4">
        <v>46096</v>
      </c>
      <c r="C91" s="5">
        <f>COUNTIF(B$4:B91,B91)</f>
        <v>1</v>
      </c>
      <c r="D91" s="11">
        <v>563900</v>
      </c>
      <c r="E91" s="6">
        <v>8233</v>
      </c>
      <c r="F91" s="6">
        <v>24</v>
      </c>
      <c r="G91" s="6">
        <v>93</v>
      </c>
      <c r="H91" s="6">
        <v>42768</v>
      </c>
      <c r="I91" s="6">
        <v>6045</v>
      </c>
      <c r="J91" s="6">
        <v>17</v>
      </c>
      <c r="M91" s="9">
        <v>46079</v>
      </c>
      <c r="N91">
        <v>163421</v>
      </c>
      <c r="O91">
        <v>48036</v>
      </c>
      <c r="P91">
        <v>37686</v>
      </c>
      <c r="Q91"/>
      <c r="R91"/>
      <c r="S91"/>
      <c r="T91"/>
      <c r="U91"/>
    </row>
    <row r="92" spans="1:21">
      <c r="A92" s="1" t="s">
        <v>10</v>
      </c>
      <c r="B92" s="7">
        <v>46099</v>
      </c>
      <c r="C92" s="5">
        <f>COUNTIF(B$4:B92,B92)</f>
        <v>1</v>
      </c>
      <c r="D92" s="12">
        <v>776400</v>
      </c>
      <c r="E92" s="8">
        <v>10300</v>
      </c>
      <c r="F92" s="8">
        <v>29</v>
      </c>
      <c r="G92" s="8">
        <v>75</v>
      </c>
      <c r="H92" s="8">
        <v>48257</v>
      </c>
      <c r="I92" s="8">
        <v>6961</v>
      </c>
      <c r="J92" s="8">
        <v>22</v>
      </c>
      <c r="M92" s="9">
        <v>46080</v>
      </c>
      <c r="N92">
        <v>190354</v>
      </c>
      <c r="O92">
        <v>49113</v>
      </c>
      <c r="P92"/>
      <c r="Q92"/>
      <c r="R92"/>
      <c r="S92"/>
      <c r="T92"/>
      <c r="U92"/>
    </row>
    <row r="93" spans="1:21">
      <c r="A93" s="1" t="s">
        <v>10</v>
      </c>
      <c r="B93" s="4">
        <v>46100</v>
      </c>
      <c r="C93" s="5">
        <f>COUNTIF(B$4:B93,B93)</f>
        <v>1</v>
      </c>
      <c r="D93" s="11">
        <v>680000</v>
      </c>
      <c r="E93" s="6">
        <v>7805</v>
      </c>
      <c r="F93" s="6">
        <v>31</v>
      </c>
      <c r="G93" s="6">
        <v>85</v>
      </c>
      <c r="H93" s="6">
        <v>43053</v>
      </c>
      <c r="I93" s="6">
        <v>7004</v>
      </c>
      <c r="J93" s="6">
        <v>23</v>
      </c>
      <c r="M93" s="9">
        <v>46081</v>
      </c>
      <c r="N93">
        <v>147645</v>
      </c>
      <c r="O93">
        <v>42829</v>
      </c>
      <c r="P93">
        <v>53420</v>
      </c>
      <c r="Q93"/>
      <c r="R93"/>
      <c r="S93"/>
      <c r="T93"/>
      <c r="U93"/>
    </row>
    <row r="94" spans="1:21">
      <c r="A94" s="1" t="s">
        <v>10</v>
      </c>
      <c r="B94" s="7">
        <v>46102</v>
      </c>
      <c r="C94" s="5">
        <f>COUNTIF(B$4:B94,B94)</f>
        <v>1</v>
      </c>
      <c r="D94" s="12">
        <v>566300</v>
      </c>
      <c r="E94" s="8">
        <v>6473</v>
      </c>
      <c r="F94" s="8">
        <v>25</v>
      </c>
      <c r="G94" s="8">
        <v>71</v>
      </c>
      <c r="H94" s="8">
        <v>38123</v>
      </c>
      <c r="I94" s="8">
        <v>5250</v>
      </c>
      <c r="J94" s="8">
        <v>19</v>
      </c>
      <c r="M94" s="9">
        <v>46082</v>
      </c>
      <c r="N94">
        <v>90238</v>
      </c>
      <c r="O94">
        <v>58525</v>
      </c>
      <c r="P94">
        <v>33447</v>
      </c>
      <c r="Q94"/>
      <c r="R94"/>
      <c r="S94"/>
      <c r="T94"/>
      <c r="U94"/>
    </row>
    <row r="95" spans="1:21">
      <c r="A95" s="1" t="s">
        <v>10</v>
      </c>
      <c r="B95" s="4">
        <v>46103</v>
      </c>
      <c r="C95" s="5">
        <f>COUNTIF(B$4:B95,B95)</f>
        <v>1</v>
      </c>
      <c r="D95" s="11">
        <v>542000</v>
      </c>
      <c r="E95" s="6">
        <v>7078</v>
      </c>
      <c r="F95" s="6">
        <v>30</v>
      </c>
      <c r="G95" s="6">
        <v>81</v>
      </c>
      <c r="H95" s="6">
        <v>36995</v>
      </c>
      <c r="I95" s="6">
        <v>6888</v>
      </c>
      <c r="J95" s="6">
        <v>23</v>
      </c>
      <c r="M95" s="9">
        <v>46083</v>
      </c>
      <c r="N95"/>
      <c r="O95"/>
      <c r="P95">
        <v>21455</v>
      </c>
      <c r="Q95"/>
      <c r="R95"/>
      <c r="S95"/>
      <c r="T95"/>
      <c r="U95"/>
    </row>
    <row r="96" spans="1:21">
      <c r="A96" s="1" t="s">
        <v>10</v>
      </c>
      <c r="B96" s="7">
        <v>46105</v>
      </c>
      <c r="C96" s="5">
        <f>COUNTIF(B$4:B96,B96)</f>
        <v>1</v>
      </c>
      <c r="D96" s="12">
        <v>804300</v>
      </c>
      <c r="E96" s="8">
        <v>15800</v>
      </c>
      <c r="F96" s="8">
        <v>36</v>
      </c>
      <c r="G96" s="8">
        <v>120</v>
      </c>
      <c r="H96" s="8">
        <v>48768</v>
      </c>
      <c r="I96" s="8">
        <v>9355</v>
      </c>
      <c r="J96" s="8">
        <v>21</v>
      </c>
      <c r="M96" s="9">
        <v>46084</v>
      </c>
      <c r="N96">
        <v>155364</v>
      </c>
      <c r="O96"/>
      <c r="P96">
        <v>45734</v>
      </c>
      <c r="Q96"/>
      <c r="R96"/>
      <c r="S96"/>
      <c r="T96"/>
      <c r="U96"/>
    </row>
    <row r="97" spans="1:21">
      <c r="A97" s="1" t="s">
        <v>10</v>
      </c>
      <c r="B97" s="13">
        <v>46106</v>
      </c>
      <c r="C97" s="5">
        <f>COUNTIF(B$4:B97,B97)</f>
        <v>1</v>
      </c>
      <c r="D97" s="14">
        <v>1700000</v>
      </c>
      <c r="E97" s="15">
        <v>17900</v>
      </c>
      <c r="F97" s="15">
        <v>36</v>
      </c>
      <c r="G97" s="15">
        <v>140</v>
      </c>
      <c r="H97" s="15">
        <v>52433</v>
      </c>
      <c r="I97" s="15">
        <v>11200</v>
      </c>
      <c r="J97" s="15">
        <v>23</v>
      </c>
      <c r="M97" s="9">
        <v>46085</v>
      </c>
      <c r="N97">
        <v>121524</v>
      </c>
      <c r="O97"/>
      <c r="P97">
        <v>43341</v>
      </c>
      <c r="Q97"/>
      <c r="R97"/>
      <c r="S97"/>
      <c r="T97"/>
      <c r="U97"/>
    </row>
    <row r="98" spans="1:21">
      <c r="A98" s="1" t="s">
        <v>10</v>
      </c>
      <c r="B98" s="7">
        <v>46108</v>
      </c>
      <c r="C98" s="5">
        <f>COUNTIF(B$4:B98,B98)</f>
        <v>1</v>
      </c>
      <c r="D98" s="8">
        <v>476100</v>
      </c>
      <c r="E98" s="8">
        <v>8288</v>
      </c>
      <c r="F98" s="8">
        <v>26</v>
      </c>
      <c r="G98" s="8">
        <v>110</v>
      </c>
      <c r="H98" s="8">
        <v>42184</v>
      </c>
      <c r="I98" s="8">
        <v>5970</v>
      </c>
      <c r="J98" s="8">
        <v>20</v>
      </c>
      <c r="M98" s="9">
        <v>46086</v>
      </c>
      <c r="N98">
        <v>138813</v>
      </c>
      <c r="O98"/>
      <c r="P98"/>
      <c r="Q98"/>
      <c r="R98"/>
      <c r="S98"/>
      <c r="T98"/>
      <c r="U98"/>
    </row>
    <row r="99" spans="1:21">
      <c r="A99" s="1" t="s">
        <v>10</v>
      </c>
      <c r="B99" s="4">
        <v>46109</v>
      </c>
      <c r="C99" s="5">
        <f>COUNTIF(B$4:B99,B99)</f>
        <v>1</v>
      </c>
      <c r="D99" s="6">
        <v>468800</v>
      </c>
      <c r="E99" s="6">
        <v>8299</v>
      </c>
      <c r="F99" s="6">
        <v>27</v>
      </c>
      <c r="G99" s="6">
        <v>91</v>
      </c>
      <c r="H99" s="6">
        <v>43593</v>
      </c>
      <c r="I99" s="6">
        <v>5955</v>
      </c>
      <c r="J99" s="6">
        <v>20</v>
      </c>
      <c r="M99" s="9">
        <v>46087</v>
      </c>
      <c r="N99">
        <v>133964</v>
      </c>
      <c r="O99">
        <v>48493</v>
      </c>
      <c r="P99"/>
      <c r="Q99"/>
      <c r="R99"/>
      <c r="S99"/>
      <c r="T99"/>
      <c r="U99"/>
    </row>
    <row r="100" spans="1:21">
      <c r="A100" s="1" t="s">
        <v>10</v>
      </c>
      <c r="B100" s="7">
        <v>46110</v>
      </c>
      <c r="C100" s="5">
        <f>COUNTIF(B$4:B100,B100)</f>
        <v>1</v>
      </c>
      <c r="D100" s="8">
        <v>405900</v>
      </c>
      <c r="E100" s="8">
        <v>6437</v>
      </c>
      <c r="F100" s="8">
        <v>22</v>
      </c>
      <c r="G100" s="8">
        <v>64</v>
      </c>
      <c r="H100" s="8">
        <v>35816</v>
      </c>
      <c r="I100" s="8">
        <v>5518</v>
      </c>
      <c r="J100" s="8">
        <v>17</v>
      </c>
      <c r="M100" s="9">
        <v>46088</v>
      </c>
      <c r="N100"/>
      <c r="O100">
        <v>39457</v>
      </c>
      <c r="P100">
        <v>51422</v>
      </c>
      <c r="Q100"/>
      <c r="R100"/>
      <c r="S100"/>
      <c r="T100"/>
      <c r="U100"/>
    </row>
    <row r="101" spans="1:21">
      <c r="A101" s="1" t="s">
        <v>10</v>
      </c>
      <c r="B101" s="4">
        <v>46112</v>
      </c>
      <c r="C101" s="5">
        <f>COUNTIF(B$4:B101,B101)</f>
        <v>1</v>
      </c>
      <c r="D101" s="6">
        <v>778500</v>
      </c>
      <c r="E101" s="6">
        <v>5809</v>
      </c>
      <c r="F101" s="6">
        <v>24</v>
      </c>
      <c r="G101" s="6">
        <v>87</v>
      </c>
      <c r="H101" s="6">
        <v>42192</v>
      </c>
      <c r="I101" s="6">
        <v>5298</v>
      </c>
      <c r="J101" s="6">
        <v>14</v>
      </c>
      <c r="M101" s="9">
        <v>46089</v>
      </c>
      <c r="N101">
        <v>147518</v>
      </c>
      <c r="O101">
        <v>48668</v>
      </c>
      <c r="P101">
        <v>55152</v>
      </c>
      <c r="Q101"/>
      <c r="R101"/>
      <c r="S101"/>
      <c r="T101"/>
      <c r="U101"/>
    </row>
    <row r="102" spans="1:21">
      <c r="A102" s="1" t="s">
        <v>10</v>
      </c>
      <c r="B102" s="7">
        <v>46113</v>
      </c>
      <c r="C102" s="5">
        <f>COUNTIF(B$4:B102,B102)</f>
        <v>1</v>
      </c>
      <c r="D102" s="16">
        <v>251900</v>
      </c>
      <c r="E102" s="17">
        <v>7426</v>
      </c>
      <c r="F102" s="17">
        <v>13</v>
      </c>
      <c r="G102" s="17">
        <v>161</v>
      </c>
      <c r="H102" s="18">
        <v>159434</v>
      </c>
      <c r="I102" s="18">
        <v>5816</v>
      </c>
      <c r="J102" s="18">
        <v>9</v>
      </c>
      <c r="M102" s="9">
        <v>46090</v>
      </c>
      <c r="N102"/>
      <c r="O102"/>
      <c r="P102">
        <v>53065</v>
      </c>
      <c r="Q102">
        <v>43414</v>
      </c>
      <c r="R102"/>
      <c r="S102"/>
      <c r="T102"/>
      <c r="U102"/>
    </row>
    <row r="103" spans="1:21">
      <c r="A103" s="1" t="s">
        <v>10</v>
      </c>
      <c r="B103" s="4">
        <v>46114</v>
      </c>
      <c r="C103" s="5">
        <f>COUNTIF(B$4:B103,B103)</f>
        <v>1</v>
      </c>
      <c r="D103" s="6">
        <v>464100</v>
      </c>
      <c r="E103" s="6">
        <v>6908</v>
      </c>
      <c r="F103" s="6">
        <v>22</v>
      </c>
      <c r="G103" s="6">
        <v>51</v>
      </c>
      <c r="H103" s="6">
        <v>34194</v>
      </c>
      <c r="I103" s="6">
        <v>4632</v>
      </c>
      <c r="J103" s="6">
        <v>16</v>
      </c>
      <c r="M103" s="9">
        <v>46091</v>
      </c>
      <c r="N103">
        <v>151579</v>
      </c>
      <c r="O103">
        <v>39961</v>
      </c>
      <c r="P103">
        <v>47013</v>
      </c>
      <c r="Q103">
        <v>23954</v>
      </c>
      <c r="R103"/>
      <c r="S103"/>
      <c r="T103"/>
      <c r="U103"/>
    </row>
    <row r="104" spans="1:21">
      <c r="A104" s="1" t="s">
        <v>10</v>
      </c>
      <c r="B104" s="7">
        <v>46116</v>
      </c>
      <c r="C104" s="5">
        <f>COUNTIF(B$4:B104,B104)</f>
        <v>1</v>
      </c>
      <c r="D104" s="19">
        <v>526700</v>
      </c>
      <c r="E104" s="8">
        <v>5528</v>
      </c>
      <c r="F104" s="8">
        <v>21</v>
      </c>
      <c r="G104" s="8">
        <v>62</v>
      </c>
      <c r="H104" s="20">
        <v>27534</v>
      </c>
      <c r="I104" s="21">
        <v>3688</v>
      </c>
      <c r="J104" s="21">
        <v>15</v>
      </c>
      <c r="M104" s="9">
        <v>46092</v>
      </c>
      <c r="N104">
        <v>131776</v>
      </c>
      <c r="O104">
        <v>41588</v>
      </c>
      <c r="P104">
        <v>47660</v>
      </c>
      <c r="Q104">
        <v>26529</v>
      </c>
      <c r="R104"/>
      <c r="S104"/>
      <c r="T104"/>
      <c r="U104"/>
    </row>
    <row r="105" spans="1:21">
      <c r="A105" s="1" t="s">
        <v>10</v>
      </c>
      <c r="B105" s="4">
        <v>46117</v>
      </c>
      <c r="C105" s="5">
        <f>COUNTIF(B$4:B105,B105)</f>
        <v>1</v>
      </c>
      <c r="D105" s="22">
        <v>613600</v>
      </c>
      <c r="E105" s="6">
        <v>6624</v>
      </c>
      <c r="F105" s="6">
        <v>25</v>
      </c>
      <c r="G105" s="6">
        <v>85</v>
      </c>
      <c r="H105" s="23">
        <v>31316</v>
      </c>
      <c r="I105" s="24">
        <v>4488</v>
      </c>
      <c r="J105" s="24">
        <v>18</v>
      </c>
      <c r="M105" s="9">
        <v>46093</v>
      </c>
      <c r="N105">
        <v>140749</v>
      </c>
      <c r="O105">
        <v>56795</v>
      </c>
      <c r="P105">
        <v>54978</v>
      </c>
      <c r="Q105">
        <v>23018</v>
      </c>
      <c r="R105"/>
      <c r="S105"/>
      <c r="T105"/>
      <c r="U105"/>
    </row>
    <row r="106" spans="1:21">
      <c r="A106" s="1" t="s">
        <v>10</v>
      </c>
      <c r="B106" s="7">
        <v>46119</v>
      </c>
      <c r="C106" s="5">
        <f>COUNTIF(B$4:B106,B106)</f>
        <v>1</v>
      </c>
      <c r="D106" s="19">
        <v>466500</v>
      </c>
      <c r="E106" s="8">
        <v>6000</v>
      </c>
      <c r="F106" s="8">
        <v>23</v>
      </c>
      <c r="G106" s="8">
        <v>59</v>
      </c>
      <c r="H106" s="20">
        <v>37047</v>
      </c>
      <c r="I106" s="21">
        <v>4506</v>
      </c>
      <c r="J106" s="21">
        <v>12</v>
      </c>
      <c r="M106" s="9">
        <v>46094</v>
      </c>
      <c r="N106">
        <v>131384</v>
      </c>
      <c r="O106">
        <v>45180</v>
      </c>
      <c r="P106"/>
      <c r="Q106">
        <v>23136</v>
      </c>
      <c r="R106"/>
      <c r="S106"/>
      <c r="T106"/>
      <c r="U106"/>
    </row>
    <row r="107" spans="1:21">
      <c r="A107" s="1" t="s">
        <v>10</v>
      </c>
      <c r="B107" s="4">
        <v>46120</v>
      </c>
      <c r="C107" s="5">
        <f>COUNTIF(B$4:B107,B107)</f>
        <v>1</v>
      </c>
      <c r="D107" s="22">
        <v>526900</v>
      </c>
      <c r="E107" s="6">
        <v>4466</v>
      </c>
      <c r="F107" s="6">
        <v>22</v>
      </c>
      <c r="G107" s="6">
        <v>48</v>
      </c>
      <c r="H107" s="23">
        <v>28363</v>
      </c>
      <c r="I107" s="24">
        <v>3782</v>
      </c>
      <c r="J107" s="24">
        <v>15</v>
      </c>
      <c r="M107" s="9">
        <v>46095</v>
      </c>
      <c r="N107">
        <v>147857</v>
      </c>
      <c r="O107">
        <v>47292</v>
      </c>
      <c r="P107">
        <v>56732</v>
      </c>
      <c r="Q107">
        <v>22826</v>
      </c>
      <c r="R107"/>
      <c r="S107"/>
      <c r="T107"/>
      <c r="U107"/>
    </row>
    <row r="108" spans="1:21">
      <c r="A108" s="1" t="s">
        <v>10</v>
      </c>
      <c r="B108" s="7">
        <v>46121</v>
      </c>
      <c r="C108" s="5">
        <f>COUNTIF(B$4:B108,B108)</f>
        <v>1</v>
      </c>
      <c r="D108" s="19">
        <v>425600</v>
      </c>
      <c r="E108" s="8">
        <v>4084</v>
      </c>
      <c r="F108" s="8">
        <v>19</v>
      </c>
      <c r="G108" s="8">
        <v>63</v>
      </c>
      <c r="H108" s="20">
        <v>32013</v>
      </c>
      <c r="I108" s="21">
        <v>4441</v>
      </c>
      <c r="J108" s="21">
        <v>10</v>
      </c>
      <c r="M108" s="9">
        <v>46096</v>
      </c>
      <c r="N108">
        <v>157905</v>
      </c>
      <c r="O108">
        <v>42768</v>
      </c>
      <c r="P108">
        <v>68883</v>
      </c>
      <c r="Q108">
        <v>21870</v>
      </c>
      <c r="R108"/>
      <c r="S108"/>
      <c r="T108"/>
      <c r="U108"/>
    </row>
    <row r="109" spans="1:21">
      <c r="A109" s="1" t="s">
        <v>10</v>
      </c>
      <c r="B109" s="4">
        <v>46122</v>
      </c>
      <c r="C109" s="5">
        <f>COUNTIF(B$4:B109,B109)</f>
        <v>1</v>
      </c>
      <c r="D109" s="22">
        <v>472700</v>
      </c>
      <c r="E109" s="6">
        <v>4213</v>
      </c>
      <c r="F109" s="6">
        <v>22</v>
      </c>
      <c r="G109" s="6">
        <v>61</v>
      </c>
      <c r="H109" s="23">
        <v>24140</v>
      </c>
      <c r="I109" s="24">
        <v>3769</v>
      </c>
      <c r="J109" s="24">
        <v>16</v>
      </c>
      <c r="M109" s="9">
        <v>46097</v>
      </c>
      <c r="N109"/>
      <c r="O109"/>
      <c r="P109">
        <v>55518</v>
      </c>
      <c r="Q109">
        <v>35635</v>
      </c>
      <c r="R109"/>
      <c r="S109"/>
      <c r="T109"/>
      <c r="U109"/>
    </row>
    <row r="110" spans="1:21">
      <c r="A110" s="1" t="s">
        <v>10</v>
      </c>
      <c r="B110" s="7">
        <v>46127</v>
      </c>
      <c r="C110" s="5">
        <f>COUNTIF(B$4:B110,B110)</f>
        <v>1</v>
      </c>
      <c r="D110" s="19">
        <v>433200</v>
      </c>
      <c r="E110" s="8">
        <v>4331</v>
      </c>
      <c r="F110" s="8">
        <v>20</v>
      </c>
      <c r="G110" s="8">
        <v>58</v>
      </c>
      <c r="H110" s="20">
        <v>27082</v>
      </c>
      <c r="I110" s="21">
        <v>3464</v>
      </c>
      <c r="J110" s="21">
        <v>14</v>
      </c>
      <c r="M110" s="9">
        <v>46098</v>
      </c>
      <c r="N110">
        <v>149270</v>
      </c>
      <c r="O110"/>
      <c r="P110">
        <v>49522</v>
      </c>
      <c r="Q110">
        <v>18803</v>
      </c>
      <c r="R110"/>
      <c r="S110"/>
      <c r="T110"/>
      <c r="U110"/>
    </row>
    <row r="111" spans="1:21">
      <c r="A111" s="1" t="s">
        <v>10</v>
      </c>
      <c r="B111" s="4">
        <v>46128</v>
      </c>
      <c r="C111" s="5">
        <f>COUNTIF(B$4:B111,B111)</f>
        <v>1</v>
      </c>
      <c r="D111" s="22">
        <v>494000</v>
      </c>
      <c r="E111" s="6">
        <v>4783</v>
      </c>
      <c r="F111" s="6">
        <v>19</v>
      </c>
      <c r="G111" s="6">
        <v>33</v>
      </c>
      <c r="H111" s="23">
        <v>22017</v>
      </c>
      <c r="I111" s="24">
        <v>3652</v>
      </c>
      <c r="J111" s="24">
        <v>15</v>
      </c>
      <c r="M111" s="9">
        <v>46099</v>
      </c>
      <c r="N111">
        <v>123570</v>
      </c>
      <c r="O111">
        <v>48257</v>
      </c>
      <c r="P111">
        <v>46328</v>
      </c>
      <c r="Q111">
        <v>12453</v>
      </c>
      <c r="R111"/>
      <c r="S111"/>
      <c r="T111"/>
      <c r="U111"/>
    </row>
    <row r="112" spans="1:21">
      <c r="A112" s="1" t="s">
        <v>10</v>
      </c>
      <c r="B112" s="7">
        <v>46129</v>
      </c>
      <c r="C112" s="5">
        <f>COUNTIF(B$4:B112,B112)</f>
        <v>1</v>
      </c>
      <c r="D112" s="19">
        <v>536900</v>
      </c>
      <c r="E112" s="8">
        <v>5904</v>
      </c>
      <c r="F112" s="8">
        <v>23</v>
      </c>
      <c r="G112" s="8">
        <v>72</v>
      </c>
      <c r="H112" s="20">
        <v>22657</v>
      </c>
      <c r="I112" s="21">
        <v>3909</v>
      </c>
      <c r="J112" s="21">
        <v>18</v>
      </c>
      <c r="M112" s="9">
        <v>46100</v>
      </c>
      <c r="N112">
        <v>137714</v>
      </c>
      <c r="O112">
        <v>43053</v>
      </c>
      <c r="P112">
        <v>49590</v>
      </c>
      <c r="Q112"/>
      <c r="R112"/>
      <c r="S112"/>
      <c r="T112"/>
      <c r="U112"/>
    </row>
    <row r="113" spans="1:21">
      <c r="A113" s="1" t="s">
        <v>10</v>
      </c>
      <c r="B113" s="4">
        <v>46130</v>
      </c>
      <c r="C113" s="5">
        <f>COUNTIF(B$4:B113,B113)</f>
        <v>1</v>
      </c>
      <c r="D113" s="22">
        <v>1100000</v>
      </c>
      <c r="E113" s="6">
        <v>5334</v>
      </c>
      <c r="F113" s="6">
        <v>24</v>
      </c>
      <c r="G113" s="6">
        <v>83</v>
      </c>
      <c r="H113" s="23">
        <v>24851</v>
      </c>
      <c r="I113" s="24">
        <v>3638</v>
      </c>
      <c r="J113" s="24">
        <v>18</v>
      </c>
      <c r="M113" s="9">
        <v>46101</v>
      </c>
      <c r="N113">
        <v>109165</v>
      </c>
      <c r="O113"/>
      <c r="P113"/>
      <c r="Q113">
        <v>15147</v>
      </c>
      <c r="R113">
        <v>3436</v>
      </c>
      <c r="S113"/>
      <c r="T113"/>
      <c r="U113"/>
    </row>
    <row r="114" spans="1:21">
      <c r="A114" s="1" t="s">
        <v>11</v>
      </c>
      <c r="B114" s="4">
        <v>45992</v>
      </c>
      <c r="C114" s="5">
        <f>COUNTIF(B$114:B114,B114)</f>
        <v>1</v>
      </c>
      <c r="D114" s="11">
        <v>17600</v>
      </c>
      <c r="E114" s="6">
        <v>887</v>
      </c>
      <c r="F114" s="6">
        <v>12</v>
      </c>
      <c r="G114" s="6">
        <v>87</v>
      </c>
      <c r="H114" s="6">
        <v>4208</v>
      </c>
      <c r="I114" s="6">
        <v>369</v>
      </c>
      <c r="J114" s="6">
        <v>4</v>
      </c>
      <c r="M114" s="9">
        <v>46102</v>
      </c>
      <c r="N114">
        <v>113193</v>
      </c>
      <c r="O114">
        <v>38123</v>
      </c>
      <c r="P114">
        <v>33446</v>
      </c>
      <c r="Q114">
        <v>17170</v>
      </c>
      <c r="R114">
        <v>14911</v>
      </c>
      <c r="S114"/>
      <c r="T114"/>
      <c r="U114"/>
    </row>
    <row r="115" spans="1:21">
      <c r="A115" s="1" t="s">
        <v>11</v>
      </c>
      <c r="B115" s="7">
        <v>45993</v>
      </c>
      <c r="C115" s="5">
        <f>COUNTIF(B$114:B115,B115)</f>
        <v>1</v>
      </c>
      <c r="D115" s="12">
        <v>21600</v>
      </c>
      <c r="E115" s="8">
        <v>1146</v>
      </c>
      <c r="F115" s="8">
        <v>12</v>
      </c>
      <c r="G115" s="8">
        <v>150</v>
      </c>
      <c r="H115" s="8">
        <v>6679</v>
      </c>
      <c r="I115" s="8">
        <v>402</v>
      </c>
      <c r="J115" s="8">
        <v>3</v>
      </c>
      <c r="M115" s="9">
        <v>46103</v>
      </c>
      <c r="N115">
        <v>119458</v>
      </c>
      <c r="O115">
        <v>36995</v>
      </c>
      <c r="P115">
        <v>37361</v>
      </c>
      <c r="Q115">
        <v>14730</v>
      </c>
      <c r="R115">
        <v>11302</v>
      </c>
      <c r="S115"/>
      <c r="T115"/>
      <c r="U115"/>
    </row>
    <row r="116" spans="1:21">
      <c r="A116" s="1" t="s">
        <v>11</v>
      </c>
      <c r="B116" s="4">
        <v>45994</v>
      </c>
      <c r="C116" s="5">
        <f>COUNTIF(B$114:B116,B116)</f>
        <v>1</v>
      </c>
      <c r="D116" s="11">
        <v>40600</v>
      </c>
      <c r="E116" s="6">
        <v>4380</v>
      </c>
      <c r="F116" s="6">
        <v>26</v>
      </c>
      <c r="G116" s="6">
        <v>375</v>
      </c>
      <c r="H116" s="6">
        <v>14673</v>
      </c>
      <c r="I116" s="6">
        <v>1233</v>
      </c>
      <c r="J116" s="6">
        <v>5</v>
      </c>
      <c r="M116" s="9">
        <v>46104</v>
      </c>
      <c r="N116"/>
      <c r="O116"/>
      <c r="P116">
        <v>30209</v>
      </c>
      <c r="Q116">
        <v>14343</v>
      </c>
      <c r="R116">
        <v>12498</v>
      </c>
      <c r="S116"/>
      <c r="T116"/>
      <c r="U116"/>
    </row>
    <row r="117" spans="1:21">
      <c r="A117" s="1" t="s">
        <v>11</v>
      </c>
      <c r="B117" s="7">
        <v>45995</v>
      </c>
      <c r="C117" s="5">
        <f>COUNTIF(B$114:B117,B117)</f>
        <v>1</v>
      </c>
      <c r="D117" s="12">
        <v>49100</v>
      </c>
      <c r="E117" s="8">
        <v>2038</v>
      </c>
      <c r="F117" s="8">
        <v>24</v>
      </c>
      <c r="G117" s="8">
        <v>242</v>
      </c>
      <c r="H117" s="8">
        <v>9259</v>
      </c>
      <c r="I117" s="8">
        <v>775</v>
      </c>
      <c r="J117" s="8">
        <v>6</v>
      </c>
      <c r="M117" s="9">
        <v>46105</v>
      </c>
      <c r="N117">
        <v>117342</v>
      </c>
      <c r="O117">
        <v>48768</v>
      </c>
      <c r="P117">
        <v>32138</v>
      </c>
      <c r="Q117">
        <v>17801</v>
      </c>
      <c r="R117">
        <v>14683</v>
      </c>
      <c r="S117"/>
      <c r="T117"/>
      <c r="U117"/>
    </row>
    <row r="118" spans="1:21">
      <c r="A118" s="1" t="s">
        <v>11</v>
      </c>
      <c r="B118" s="4">
        <v>45996</v>
      </c>
      <c r="C118" s="5">
        <f>COUNTIF(B$114:B118,B118)</f>
        <v>1</v>
      </c>
      <c r="D118" s="11">
        <v>38500</v>
      </c>
      <c r="E118" s="6">
        <v>1998</v>
      </c>
      <c r="F118" s="6">
        <v>20</v>
      </c>
      <c r="G118" s="6">
        <v>232</v>
      </c>
      <c r="H118" s="6">
        <v>10521</v>
      </c>
      <c r="I118" s="6">
        <v>828</v>
      </c>
      <c r="J118" s="6">
        <v>4</v>
      </c>
      <c r="M118" s="9">
        <v>46106</v>
      </c>
      <c r="N118">
        <v>127045</v>
      </c>
      <c r="O118">
        <v>52433</v>
      </c>
      <c r="P118">
        <v>35019</v>
      </c>
      <c r="Q118">
        <v>20818</v>
      </c>
      <c r="R118">
        <v>14382</v>
      </c>
      <c r="S118"/>
      <c r="T118"/>
      <c r="U118"/>
    </row>
    <row r="119" spans="1:21">
      <c r="A119" s="1" t="s">
        <v>11</v>
      </c>
      <c r="B119" s="7">
        <v>45997</v>
      </c>
      <c r="C119" s="5">
        <f>COUNTIF(B$114:B119,B119)</f>
        <v>1</v>
      </c>
      <c r="D119" s="12">
        <v>251800</v>
      </c>
      <c r="E119" s="10">
        <v>3846</v>
      </c>
      <c r="F119" s="10">
        <v>28</v>
      </c>
      <c r="G119" s="10">
        <v>442</v>
      </c>
      <c r="H119" s="8">
        <v>13424</v>
      </c>
      <c r="I119" s="10">
        <v>1165</v>
      </c>
      <c r="J119" s="10">
        <v>6</v>
      </c>
      <c r="M119" s="9">
        <v>46107</v>
      </c>
      <c r="N119">
        <v>130029</v>
      </c>
      <c r="O119"/>
      <c r="P119">
        <v>31651</v>
      </c>
      <c r="Q119"/>
      <c r="R119">
        <v>13469</v>
      </c>
      <c r="S119"/>
      <c r="T119"/>
      <c r="U119"/>
    </row>
    <row r="120" spans="1:21">
      <c r="A120" s="1" t="s">
        <v>11</v>
      </c>
      <c r="B120" s="4">
        <v>45997</v>
      </c>
      <c r="C120" s="5">
        <f>COUNTIF(B$114:B120,B120)</f>
        <v>2</v>
      </c>
      <c r="D120" s="11">
        <v>257400</v>
      </c>
      <c r="E120" s="6">
        <v>2801</v>
      </c>
      <c r="F120" s="6">
        <v>28</v>
      </c>
      <c r="G120" s="6">
        <v>93</v>
      </c>
      <c r="H120" s="6">
        <v>5279</v>
      </c>
      <c r="I120" s="6">
        <v>580</v>
      </c>
      <c r="J120" s="6">
        <v>10</v>
      </c>
      <c r="M120" s="9">
        <v>46108</v>
      </c>
      <c r="N120">
        <v>132215</v>
      </c>
      <c r="O120">
        <v>42184</v>
      </c>
      <c r="P120"/>
      <c r="Q120">
        <v>14599</v>
      </c>
      <c r="R120">
        <v>12799</v>
      </c>
      <c r="S120"/>
      <c r="T120"/>
      <c r="U120"/>
    </row>
    <row r="121" spans="1:21">
      <c r="A121" s="1" t="s">
        <v>11</v>
      </c>
      <c r="B121" s="7">
        <v>45999</v>
      </c>
      <c r="C121" s="5">
        <f>COUNTIF(B$114:B121,B121)</f>
        <v>1</v>
      </c>
      <c r="D121" s="12">
        <v>109900</v>
      </c>
      <c r="E121" s="10">
        <v>1704</v>
      </c>
      <c r="F121" s="10">
        <v>21</v>
      </c>
      <c r="G121" s="10">
        <v>133</v>
      </c>
      <c r="H121" s="8">
        <v>7107</v>
      </c>
      <c r="I121" s="10">
        <v>534</v>
      </c>
      <c r="J121" s="10">
        <v>6</v>
      </c>
      <c r="M121" s="9">
        <v>46109</v>
      </c>
      <c r="N121">
        <v>55436</v>
      </c>
      <c r="O121">
        <v>43593</v>
      </c>
      <c r="P121">
        <v>34940</v>
      </c>
      <c r="Q121">
        <v>14566</v>
      </c>
      <c r="R121"/>
      <c r="S121"/>
      <c r="T121"/>
      <c r="U121"/>
    </row>
    <row r="122" spans="1:21">
      <c r="A122" s="1" t="s">
        <v>11</v>
      </c>
      <c r="B122" s="4">
        <v>45999</v>
      </c>
      <c r="C122" s="5">
        <f>COUNTIF(B$114:B122,B122)</f>
        <v>2</v>
      </c>
      <c r="D122" s="11">
        <v>324500</v>
      </c>
      <c r="E122" s="6">
        <v>3903</v>
      </c>
      <c r="F122" s="6">
        <v>24</v>
      </c>
      <c r="G122" s="6">
        <v>336</v>
      </c>
      <c r="H122" s="6">
        <v>17444</v>
      </c>
      <c r="I122" s="6">
        <v>1200</v>
      </c>
      <c r="J122" s="6">
        <v>5</v>
      </c>
      <c r="M122" s="9">
        <v>46110</v>
      </c>
      <c r="N122">
        <v>152131</v>
      </c>
      <c r="O122">
        <v>35816</v>
      </c>
      <c r="P122">
        <v>38763</v>
      </c>
      <c r="Q122">
        <v>14342</v>
      </c>
      <c r="R122">
        <v>14150</v>
      </c>
      <c r="S122"/>
      <c r="T122"/>
      <c r="U122"/>
    </row>
    <row r="123" spans="1:21">
      <c r="A123" s="1" t="s">
        <v>11</v>
      </c>
      <c r="B123" s="7">
        <v>46000</v>
      </c>
      <c r="C123" s="5">
        <f>COUNTIF(B$114:B123,B123)</f>
        <v>1</v>
      </c>
      <c r="D123" s="12">
        <v>139400</v>
      </c>
      <c r="E123" s="10">
        <v>2888</v>
      </c>
      <c r="F123" s="10">
        <v>27</v>
      </c>
      <c r="G123" s="10">
        <v>474</v>
      </c>
      <c r="H123" s="8">
        <v>20413</v>
      </c>
      <c r="I123" s="10">
        <v>1560</v>
      </c>
      <c r="J123" s="10">
        <v>5</v>
      </c>
      <c r="M123" s="9">
        <v>46111</v>
      </c>
      <c r="N123">
        <v>128002</v>
      </c>
      <c r="O123"/>
      <c r="P123">
        <v>35250</v>
      </c>
      <c r="Q123">
        <v>13940</v>
      </c>
      <c r="R123"/>
      <c r="S123"/>
      <c r="T123"/>
      <c r="U123"/>
    </row>
    <row r="124" spans="1:21">
      <c r="A124" s="1" t="s">
        <v>11</v>
      </c>
      <c r="B124" s="4">
        <v>46000</v>
      </c>
      <c r="C124" s="5">
        <f>COUNTIF(B$114:B124,B124)</f>
        <v>2</v>
      </c>
      <c r="D124" s="11">
        <v>707000</v>
      </c>
      <c r="E124" s="6">
        <v>6929</v>
      </c>
      <c r="F124" s="6">
        <v>27</v>
      </c>
      <c r="G124" s="6">
        <v>570</v>
      </c>
      <c r="H124" s="6">
        <v>24641</v>
      </c>
      <c r="I124" s="6">
        <v>2035</v>
      </c>
      <c r="J124" s="6">
        <v>7</v>
      </c>
      <c r="M124" s="9">
        <v>46112</v>
      </c>
      <c r="N124">
        <v>106940</v>
      </c>
      <c r="O124">
        <v>42192</v>
      </c>
      <c r="P124">
        <v>32271</v>
      </c>
      <c r="Q124">
        <v>12530</v>
      </c>
      <c r="R124">
        <v>11868</v>
      </c>
      <c r="S124"/>
      <c r="T124"/>
      <c r="U124"/>
    </row>
    <row r="125" spans="1:21">
      <c r="A125" s="1" t="s">
        <v>11</v>
      </c>
      <c r="B125" s="7">
        <v>46001</v>
      </c>
      <c r="C125" s="5">
        <f>COUNTIF(B$114:B125,B125)</f>
        <v>1</v>
      </c>
      <c r="D125" s="12">
        <v>531100</v>
      </c>
      <c r="E125" s="10">
        <v>4144</v>
      </c>
      <c r="F125" s="10">
        <v>29</v>
      </c>
      <c r="G125" s="10">
        <v>482</v>
      </c>
      <c r="H125" s="8">
        <v>21049</v>
      </c>
      <c r="I125" s="10">
        <v>2370</v>
      </c>
      <c r="J125" s="10">
        <v>8</v>
      </c>
      <c r="M125" s="9">
        <v>46113</v>
      </c>
      <c r="N125">
        <v>242389</v>
      </c>
      <c r="O125">
        <v>159434</v>
      </c>
      <c r="P125">
        <v>91585</v>
      </c>
      <c r="Q125">
        <v>49666</v>
      </c>
      <c r="R125">
        <v>9930</v>
      </c>
      <c r="S125"/>
      <c r="T125"/>
      <c r="U125"/>
    </row>
    <row r="126" spans="1:21">
      <c r="A126" s="1" t="s">
        <v>11</v>
      </c>
      <c r="B126" s="4">
        <v>46001</v>
      </c>
      <c r="C126" s="5">
        <f>COUNTIF(B$114:B126,B126)</f>
        <v>2</v>
      </c>
      <c r="D126" s="11">
        <v>237800</v>
      </c>
      <c r="E126" s="6">
        <v>4944</v>
      </c>
      <c r="F126" s="6">
        <v>23</v>
      </c>
      <c r="G126" s="6">
        <v>433</v>
      </c>
      <c r="H126" s="6">
        <v>24545</v>
      </c>
      <c r="I126" s="6">
        <v>2003</v>
      </c>
      <c r="J126" s="6">
        <v>7</v>
      </c>
      <c r="M126" s="9">
        <v>46114</v>
      </c>
      <c r="N126"/>
      <c r="O126">
        <v>34194</v>
      </c>
      <c r="P126">
        <v>35015</v>
      </c>
      <c r="Q126"/>
      <c r="R126">
        <v>8964</v>
      </c>
      <c r="S126"/>
      <c r="T126">
        <v>7407</v>
      </c>
      <c r="U126"/>
    </row>
    <row r="127" spans="1:21">
      <c r="A127" s="1" t="s">
        <v>11</v>
      </c>
      <c r="B127" s="7">
        <v>46001</v>
      </c>
      <c r="C127" s="5">
        <f>COUNTIF(B$114:B127,B127)</f>
        <v>3</v>
      </c>
      <c r="D127" s="12">
        <v>2000000</v>
      </c>
      <c r="E127" s="10">
        <v>10800</v>
      </c>
      <c r="F127" s="10">
        <v>29</v>
      </c>
      <c r="G127" s="10">
        <v>458</v>
      </c>
      <c r="H127" s="8">
        <v>27810</v>
      </c>
      <c r="I127" s="10">
        <v>2720</v>
      </c>
      <c r="J127" s="10">
        <v>11</v>
      </c>
      <c r="M127" s="9">
        <v>46115</v>
      </c>
      <c r="N127">
        <v>83064</v>
      </c>
      <c r="O127"/>
      <c r="P127"/>
      <c r="Q127">
        <v>11789</v>
      </c>
      <c r="R127"/>
      <c r="S127">
        <v>8641</v>
      </c>
      <c r="T127">
        <v>8093</v>
      </c>
      <c r="U127"/>
    </row>
    <row r="128" spans="1:21">
      <c r="A128" s="1" t="s">
        <v>11</v>
      </c>
      <c r="B128" s="4">
        <v>46002</v>
      </c>
      <c r="C128" s="5">
        <f>COUNTIF(B$114:B128,B128)</f>
        <v>1</v>
      </c>
      <c r="D128" s="11">
        <v>405600</v>
      </c>
      <c r="E128" s="6">
        <v>4737</v>
      </c>
      <c r="F128" s="6">
        <v>22</v>
      </c>
      <c r="G128" s="6">
        <v>465</v>
      </c>
      <c r="H128" s="6">
        <v>30630</v>
      </c>
      <c r="I128" s="6">
        <v>1876</v>
      </c>
      <c r="J128" s="6">
        <v>8</v>
      </c>
      <c r="M128" s="9">
        <v>46116</v>
      </c>
      <c r="N128">
        <v>78193</v>
      </c>
      <c r="O128">
        <v>27534</v>
      </c>
      <c r="P128">
        <v>50489</v>
      </c>
      <c r="Q128">
        <v>16573</v>
      </c>
      <c r="R128">
        <v>8533</v>
      </c>
      <c r="S128">
        <v>8172</v>
      </c>
      <c r="T128">
        <v>5553</v>
      </c>
      <c r="U128"/>
    </row>
    <row r="129" spans="1:21">
      <c r="A129" s="1" t="s">
        <v>11</v>
      </c>
      <c r="B129" s="7">
        <v>46004</v>
      </c>
      <c r="C129" s="5">
        <f>COUNTIF(B$114:B129,B129)</f>
        <v>1</v>
      </c>
      <c r="D129" s="12">
        <v>203800</v>
      </c>
      <c r="E129" s="10">
        <v>5621</v>
      </c>
      <c r="F129" s="10">
        <v>20</v>
      </c>
      <c r="G129" s="10">
        <v>375</v>
      </c>
      <c r="H129" s="8">
        <v>26957</v>
      </c>
      <c r="I129" s="10">
        <v>1918</v>
      </c>
      <c r="J129" s="10">
        <v>6</v>
      </c>
      <c r="M129" s="9">
        <v>46117</v>
      </c>
      <c r="N129">
        <v>80715</v>
      </c>
      <c r="O129">
        <v>31316</v>
      </c>
      <c r="P129">
        <v>52405</v>
      </c>
      <c r="Q129">
        <v>17905</v>
      </c>
      <c r="R129">
        <v>8090</v>
      </c>
      <c r="S129">
        <v>7339</v>
      </c>
      <c r="T129">
        <v>4625</v>
      </c>
      <c r="U129"/>
    </row>
    <row r="130" spans="1:21">
      <c r="A130" s="1" t="s">
        <v>11</v>
      </c>
      <c r="B130" s="4">
        <v>46005</v>
      </c>
      <c r="C130" s="5">
        <f>COUNTIF(B$114:B130,B130)</f>
        <v>1</v>
      </c>
      <c r="D130" s="11">
        <v>312100</v>
      </c>
      <c r="E130" s="6">
        <v>9298</v>
      </c>
      <c r="F130" s="6">
        <v>28</v>
      </c>
      <c r="G130" s="6">
        <v>631</v>
      </c>
      <c r="H130" s="6">
        <v>28473</v>
      </c>
      <c r="I130" s="6">
        <v>2321</v>
      </c>
      <c r="J130" s="6">
        <v>7</v>
      </c>
      <c r="M130" s="9">
        <v>46118</v>
      </c>
      <c r="N130">
        <v>74653</v>
      </c>
      <c r="O130"/>
      <c r="P130">
        <v>48029</v>
      </c>
      <c r="Q130">
        <v>14455</v>
      </c>
      <c r="R130"/>
      <c r="S130">
        <v>8128</v>
      </c>
      <c r="T130">
        <v>4976</v>
      </c>
      <c r="U130"/>
    </row>
    <row r="131" spans="1:21">
      <c r="A131" s="1" t="s">
        <v>11</v>
      </c>
      <c r="B131" s="7">
        <v>46005</v>
      </c>
      <c r="C131" s="5">
        <f>COUNTIF(B$114:B131,B131)</f>
        <v>2</v>
      </c>
      <c r="D131" s="12">
        <v>419900</v>
      </c>
      <c r="E131" s="10">
        <v>3911</v>
      </c>
      <c r="F131" s="10">
        <v>24</v>
      </c>
      <c r="G131" s="10">
        <v>304</v>
      </c>
      <c r="H131" s="8">
        <v>29918</v>
      </c>
      <c r="I131" s="10">
        <v>1832</v>
      </c>
      <c r="J131" s="10">
        <v>10</v>
      </c>
      <c r="M131" s="9">
        <v>46119</v>
      </c>
      <c r="N131">
        <v>72746</v>
      </c>
      <c r="O131">
        <v>37047</v>
      </c>
      <c r="P131">
        <v>31823</v>
      </c>
      <c r="Q131">
        <v>16337</v>
      </c>
      <c r="R131">
        <v>7693</v>
      </c>
      <c r="S131">
        <v>9242</v>
      </c>
      <c r="T131"/>
      <c r="U131"/>
    </row>
    <row r="132" spans="1:21">
      <c r="A132" s="1" t="s">
        <v>11</v>
      </c>
      <c r="B132" s="4">
        <v>46007</v>
      </c>
      <c r="C132" s="5">
        <f>COUNTIF(B$114:B132,B132)</f>
        <v>1</v>
      </c>
      <c r="D132" s="11">
        <v>328100</v>
      </c>
      <c r="E132" s="6">
        <v>4449</v>
      </c>
      <c r="F132" s="6">
        <v>21</v>
      </c>
      <c r="G132" s="6">
        <v>329</v>
      </c>
      <c r="H132" s="6">
        <v>38158</v>
      </c>
      <c r="I132" s="6">
        <v>1901</v>
      </c>
      <c r="J132" s="6">
        <v>4</v>
      </c>
      <c r="M132" s="9">
        <v>46120</v>
      </c>
      <c r="N132">
        <v>69598</v>
      </c>
      <c r="O132">
        <v>28363</v>
      </c>
      <c r="P132">
        <v>31155</v>
      </c>
      <c r="Q132">
        <v>14415</v>
      </c>
      <c r="R132">
        <v>7457</v>
      </c>
      <c r="S132"/>
      <c r="T132">
        <v>4995</v>
      </c>
      <c r="U132"/>
    </row>
    <row r="133" spans="1:21">
      <c r="A133" s="1" t="s">
        <v>11</v>
      </c>
      <c r="B133" s="7">
        <v>46008</v>
      </c>
      <c r="C133" s="5">
        <f>COUNTIF(B$114:B133,B133)</f>
        <v>1</v>
      </c>
      <c r="D133" s="12">
        <v>417900</v>
      </c>
      <c r="E133" s="10">
        <v>5541</v>
      </c>
      <c r="F133" s="10">
        <v>27</v>
      </c>
      <c r="G133" s="10">
        <v>715</v>
      </c>
      <c r="H133" s="8">
        <v>43637</v>
      </c>
      <c r="I133" s="10">
        <v>2904</v>
      </c>
      <c r="J133" s="10">
        <v>5</v>
      </c>
      <c r="M133" s="9">
        <v>46121</v>
      </c>
      <c r="N133">
        <v>33009</v>
      </c>
      <c r="O133">
        <v>32013</v>
      </c>
      <c r="P133">
        <v>71488</v>
      </c>
      <c r="Q133"/>
      <c r="R133">
        <v>7258</v>
      </c>
      <c r="S133">
        <v>12188</v>
      </c>
      <c r="T133">
        <v>5706</v>
      </c>
      <c r="U133"/>
    </row>
    <row r="134" spans="1:21">
      <c r="A134" s="1" t="s">
        <v>11</v>
      </c>
      <c r="B134" s="4">
        <v>46009</v>
      </c>
      <c r="C134" s="5">
        <f>COUNTIF(B$114:B134,B134)</f>
        <v>1</v>
      </c>
      <c r="D134" s="11">
        <v>871000</v>
      </c>
      <c r="E134" s="6">
        <v>6868</v>
      </c>
      <c r="F134" s="6">
        <v>30</v>
      </c>
      <c r="G134" s="6">
        <v>683</v>
      </c>
      <c r="H134" s="6">
        <v>45273</v>
      </c>
      <c r="I134" s="6">
        <v>2870</v>
      </c>
      <c r="J134" s="6">
        <v>6</v>
      </c>
      <c r="M134" s="9">
        <v>46122</v>
      </c>
      <c r="N134">
        <v>72328</v>
      </c>
      <c r="O134">
        <v>24140</v>
      </c>
      <c r="P134"/>
      <c r="Q134">
        <v>13349</v>
      </c>
      <c r="R134">
        <v>11480</v>
      </c>
      <c r="S134">
        <v>10311</v>
      </c>
      <c r="T134">
        <v>5860</v>
      </c>
      <c r="U134"/>
    </row>
    <row r="135" spans="1:21">
      <c r="A135" s="1" t="s">
        <v>11</v>
      </c>
      <c r="B135" s="7">
        <v>46010</v>
      </c>
      <c r="C135" s="5">
        <f>COUNTIF(B$114:B135,B135)</f>
        <v>1</v>
      </c>
      <c r="D135" s="12">
        <v>613700</v>
      </c>
      <c r="E135" s="10">
        <v>11400</v>
      </c>
      <c r="F135" s="10">
        <v>27</v>
      </c>
      <c r="G135" s="10">
        <v>563</v>
      </c>
      <c r="H135" s="10">
        <v>45786</v>
      </c>
      <c r="I135" s="10">
        <v>3049</v>
      </c>
      <c r="J135" s="10">
        <v>5</v>
      </c>
      <c r="M135" s="9">
        <v>46123</v>
      </c>
      <c r="N135">
        <v>52201</v>
      </c>
      <c r="O135"/>
      <c r="P135">
        <v>37413</v>
      </c>
      <c r="Q135">
        <v>21366</v>
      </c>
      <c r="R135">
        <v>10213</v>
      </c>
      <c r="S135">
        <v>15393</v>
      </c>
      <c r="T135">
        <v>7928</v>
      </c>
      <c r="U135"/>
    </row>
    <row r="136" spans="1:21">
      <c r="A136" s="1" t="s">
        <v>11</v>
      </c>
      <c r="B136" s="4">
        <v>46011</v>
      </c>
      <c r="C136" s="5">
        <f>COUNTIF(B$114:B136,B136)</f>
        <v>1</v>
      </c>
      <c r="D136" s="11">
        <v>813900</v>
      </c>
      <c r="E136" s="6">
        <v>6330</v>
      </c>
      <c r="F136" s="6">
        <v>27</v>
      </c>
      <c r="G136" s="6">
        <v>307</v>
      </c>
      <c r="H136" s="6">
        <v>29163</v>
      </c>
      <c r="I136" s="6">
        <v>2642</v>
      </c>
      <c r="J136" s="6">
        <v>8</v>
      </c>
      <c r="M136" s="9">
        <v>46124</v>
      </c>
      <c r="N136">
        <v>88884</v>
      </c>
      <c r="O136"/>
      <c r="P136">
        <v>44366</v>
      </c>
      <c r="Q136">
        <v>18622</v>
      </c>
      <c r="R136">
        <v>12191</v>
      </c>
      <c r="S136">
        <v>13052</v>
      </c>
      <c r="T136">
        <v>6707</v>
      </c>
      <c r="U136"/>
    </row>
    <row r="137" spans="1:21">
      <c r="A137" s="1" t="s">
        <v>11</v>
      </c>
      <c r="B137" s="7">
        <v>46014</v>
      </c>
      <c r="C137" s="5">
        <f>COUNTIF(B$114:B137,B137)</f>
        <v>1</v>
      </c>
      <c r="D137" s="12">
        <v>671400</v>
      </c>
      <c r="E137" s="10">
        <v>7144</v>
      </c>
      <c r="F137" s="10">
        <v>28</v>
      </c>
      <c r="G137" s="10">
        <v>411</v>
      </c>
      <c r="H137" s="10">
        <v>37127</v>
      </c>
      <c r="I137" s="10">
        <v>2669</v>
      </c>
      <c r="J137" s="10">
        <v>7</v>
      </c>
      <c r="M137" s="9">
        <v>46125</v>
      </c>
      <c r="N137">
        <v>79678</v>
      </c>
      <c r="O137"/>
      <c r="P137">
        <v>39532</v>
      </c>
      <c r="Q137">
        <v>16027</v>
      </c>
      <c r="R137"/>
      <c r="S137">
        <v>11962</v>
      </c>
      <c r="T137">
        <v>8624</v>
      </c>
      <c r="U137"/>
    </row>
    <row r="138" spans="1:21">
      <c r="A138" s="1" t="s">
        <v>11</v>
      </c>
      <c r="B138" s="4">
        <v>46015</v>
      </c>
      <c r="C138" s="5">
        <f>COUNTIF(B$114:B138,B138)</f>
        <v>1</v>
      </c>
      <c r="D138" s="11">
        <v>331500</v>
      </c>
      <c r="E138" s="6">
        <v>4419</v>
      </c>
      <c r="F138" s="6">
        <v>23</v>
      </c>
      <c r="G138" s="6">
        <v>272</v>
      </c>
      <c r="H138" s="6">
        <v>24165</v>
      </c>
      <c r="I138" s="6">
        <v>2482</v>
      </c>
      <c r="J138" s="6">
        <v>6</v>
      </c>
      <c r="M138" s="9">
        <v>46126</v>
      </c>
      <c r="N138">
        <v>75366</v>
      </c>
      <c r="O138"/>
      <c r="P138">
        <v>43903</v>
      </c>
      <c r="Q138">
        <v>14881</v>
      </c>
      <c r="R138">
        <v>10010</v>
      </c>
      <c r="S138">
        <v>10210</v>
      </c>
      <c r="T138"/>
      <c r="U138"/>
    </row>
    <row r="139" spans="1:21">
      <c r="A139" s="1" t="s">
        <v>11</v>
      </c>
      <c r="B139" s="7">
        <v>46016</v>
      </c>
      <c r="C139" s="5">
        <f>COUNTIF(B$114:B139,B139)</f>
        <v>1</v>
      </c>
      <c r="D139" s="12">
        <v>356700</v>
      </c>
      <c r="E139" s="8">
        <v>5715</v>
      </c>
      <c r="F139" s="8">
        <v>28</v>
      </c>
      <c r="G139" s="8">
        <v>277</v>
      </c>
      <c r="H139" s="8">
        <v>27001</v>
      </c>
      <c r="I139" s="8">
        <v>2235</v>
      </c>
      <c r="J139" s="8">
        <v>8</v>
      </c>
      <c r="M139" s="9">
        <v>46127</v>
      </c>
      <c r="N139">
        <v>73650</v>
      </c>
      <c r="O139">
        <v>27082</v>
      </c>
      <c r="P139">
        <v>45052</v>
      </c>
      <c r="Q139">
        <v>13088</v>
      </c>
      <c r="R139">
        <v>12020</v>
      </c>
      <c r="S139">
        <v>4411</v>
      </c>
      <c r="T139">
        <v>4710</v>
      </c>
      <c r="U139"/>
    </row>
    <row r="140" spans="1:21">
      <c r="A140" s="1" t="s">
        <v>11</v>
      </c>
      <c r="B140" s="4">
        <v>46016</v>
      </c>
      <c r="C140" s="5">
        <f>COUNTIF(B$114:B140,B140)</f>
        <v>2</v>
      </c>
      <c r="D140" s="11">
        <v>684400</v>
      </c>
      <c r="E140" s="6">
        <v>6185</v>
      </c>
      <c r="F140" s="6">
        <v>28</v>
      </c>
      <c r="G140" s="6">
        <v>389</v>
      </c>
      <c r="H140" s="6">
        <v>39074</v>
      </c>
      <c r="I140" s="6">
        <v>2973</v>
      </c>
      <c r="J140" s="6">
        <v>6</v>
      </c>
      <c r="M140" s="9">
        <v>46128</v>
      </c>
      <c r="N140">
        <v>29103</v>
      </c>
      <c r="O140">
        <v>22017</v>
      </c>
      <c r="P140">
        <v>50934</v>
      </c>
      <c r="Q140"/>
      <c r="R140">
        <v>13939</v>
      </c>
      <c r="S140">
        <v>7598</v>
      </c>
      <c r="T140">
        <v>5613</v>
      </c>
      <c r="U140"/>
    </row>
    <row r="141" spans="1:21">
      <c r="A141" s="1" t="s">
        <v>11</v>
      </c>
      <c r="B141" s="7">
        <v>46017</v>
      </c>
      <c r="C141" s="5">
        <f>COUNTIF(B$114:B141,B141)</f>
        <v>1</v>
      </c>
      <c r="D141" s="12">
        <v>455900</v>
      </c>
      <c r="E141" s="8">
        <v>5945</v>
      </c>
      <c r="F141" s="8">
        <v>29</v>
      </c>
      <c r="G141" s="8">
        <v>341</v>
      </c>
      <c r="H141" s="8">
        <v>32194</v>
      </c>
      <c r="I141" s="8">
        <v>2627</v>
      </c>
      <c r="J141" s="8">
        <v>7</v>
      </c>
      <c r="M141" s="9">
        <v>46129</v>
      </c>
      <c r="N141">
        <v>94892</v>
      </c>
      <c r="O141">
        <v>22657</v>
      </c>
      <c r="P141"/>
      <c r="Q141">
        <v>11285</v>
      </c>
      <c r="R141">
        <v>23034</v>
      </c>
      <c r="S141">
        <v>11142</v>
      </c>
      <c r="T141">
        <v>4705</v>
      </c>
      <c r="U141"/>
    </row>
    <row r="142" spans="1:21">
      <c r="A142" s="1" t="s">
        <v>11</v>
      </c>
      <c r="B142" s="4">
        <v>46017</v>
      </c>
      <c r="C142" s="5">
        <f>COUNTIF(B$114:B142,B142)</f>
        <v>2</v>
      </c>
      <c r="D142" s="11">
        <v>2400000</v>
      </c>
      <c r="E142" s="6">
        <v>10600</v>
      </c>
      <c r="F142" s="6">
        <v>31</v>
      </c>
      <c r="G142" s="6">
        <v>358</v>
      </c>
      <c r="H142" s="6">
        <v>39520</v>
      </c>
      <c r="I142" s="6">
        <v>3267</v>
      </c>
      <c r="J142" s="6">
        <v>7</v>
      </c>
      <c r="M142" s="9">
        <v>46130</v>
      </c>
      <c r="N142">
        <v>94429</v>
      </c>
      <c r="O142">
        <v>24851</v>
      </c>
      <c r="P142">
        <v>40884</v>
      </c>
      <c r="Q142">
        <v>11496</v>
      </c>
      <c r="R142">
        <v>11267</v>
      </c>
      <c r="S142">
        <v>8097</v>
      </c>
      <c r="T142">
        <v>3542</v>
      </c>
      <c r="U142"/>
    </row>
    <row r="143" spans="1:21">
      <c r="A143" s="1" t="s">
        <v>11</v>
      </c>
      <c r="B143" s="7">
        <v>46018</v>
      </c>
      <c r="C143" s="5">
        <f>COUNTIF(B$114:B143,B143)</f>
        <v>1</v>
      </c>
      <c r="D143" s="12">
        <v>889200</v>
      </c>
      <c r="E143" s="8">
        <v>8068</v>
      </c>
      <c r="F143" s="8">
        <v>32</v>
      </c>
      <c r="G143" s="8">
        <v>488</v>
      </c>
      <c r="H143" s="8">
        <v>41131</v>
      </c>
      <c r="I143" s="8">
        <v>3346</v>
      </c>
      <c r="J143" s="8">
        <v>8</v>
      </c>
      <c r="M143"/>
      <c r="N143"/>
      <c r="O143"/>
      <c r="P143"/>
      <c r="Q143"/>
      <c r="R143"/>
      <c r="S143"/>
      <c r="T143"/>
      <c r="U143"/>
    </row>
    <row r="144" spans="1:21">
      <c r="A144" s="1" t="s">
        <v>11</v>
      </c>
      <c r="B144" s="4">
        <v>46018</v>
      </c>
      <c r="C144" s="5">
        <f>COUNTIF(B$114:B144,B144)</f>
        <v>2</v>
      </c>
      <c r="D144" s="11">
        <v>418500</v>
      </c>
      <c r="E144" s="6">
        <v>5683</v>
      </c>
      <c r="F144" s="6">
        <v>21</v>
      </c>
      <c r="G144" s="6">
        <v>172</v>
      </c>
      <c r="H144" s="6">
        <v>22735</v>
      </c>
      <c r="I144" s="6">
        <v>2476</v>
      </c>
      <c r="J144" s="6">
        <v>9</v>
      </c>
    </row>
    <row r="145" spans="1:10">
      <c r="A145" s="1" t="s">
        <v>11</v>
      </c>
      <c r="B145" s="7">
        <v>46019</v>
      </c>
      <c r="C145" s="5">
        <f>COUNTIF(B$114:B145,B145)</f>
        <v>1</v>
      </c>
      <c r="D145" s="12">
        <v>1100000</v>
      </c>
      <c r="E145" s="8">
        <v>9220</v>
      </c>
      <c r="F145" s="8">
        <v>35</v>
      </c>
      <c r="G145" s="8">
        <v>637</v>
      </c>
      <c r="H145" s="8">
        <v>51214</v>
      </c>
      <c r="I145" s="8">
        <v>3871</v>
      </c>
      <c r="J145" s="8">
        <v>8</v>
      </c>
    </row>
    <row r="146" spans="1:10">
      <c r="A146" s="1" t="s">
        <v>11</v>
      </c>
      <c r="B146" s="4">
        <v>46021</v>
      </c>
      <c r="C146" s="5">
        <f>COUNTIF(B$114:B146,B146)</f>
        <v>1</v>
      </c>
      <c r="D146" s="11">
        <v>495300</v>
      </c>
      <c r="E146" s="6">
        <v>9066</v>
      </c>
      <c r="F146" s="6">
        <v>34</v>
      </c>
      <c r="G146" s="6">
        <v>342</v>
      </c>
      <c r="H146" s="6">
        <v>35904</v>
      </c>
      <c r="I146" s="6">
        <v>2894</v>
      </c>
      <c r="J146" s="6">
        <v>9</v>
      </c>
    </row>
    <row r="147" spans="1:10">
      <c r="A147" s="1" t="s">
        <v>11</v>
      </c>
      <c r="B147" s="7">
        <v>46021</v>
      </c>
      <c r="C147" s="5">
        <f>COUNTIF(B$114:B147,B147)</f>
        <v>2</v>
      </c>
      <c r="D147" s="12">
        <v>779600</v>
      </c>
      <c r="E147" s="8">
        <v>9195</v>
      </c>
      <c r="F147" s="8">
        <v>31</v>
      </c>
      <c r="G147" s="8">
        <v>354</v>
      </c>
      <c r="H147" s="8">
        <v>39049</v>
      </c>
      <c r="I147" s="8">
        <v>3908</v>
      </c>
      <c r="J147" s="8">
        <v>9</v>
      </c>
    </row>
    <row r="148" spans="1:10">
      <c r="A148" s="1" t="s">
        <v>11</v>
      </c>
      <c r="B148" s="4">
        <v>46022</v>
      </c>
      <c r="C148" s="5">
        <f>COUNTIF(B$114:B148,B148)</f>
        <v>1</v>
      </c>
      <c r="D148" s="11">
        <v>682900</v>
      </c>
      <c r="E148" s="6">
        <v>9300</v>
      </c>
      <c r="F148" s="6">
        <v>39</v>
      </c>
      <c r="G148" s="6">
        <v>504</v>
      </c>
      <c r="H148" s="6">
        <v>38458</v>
      </c>
      <c r="I148" s="6">
        <v>3913</v>
      </c>
      <c r="J148" s="6">
        <v>12</v>
      </c>
    </row>
    <row r="149" spans="1:10">
      <c r="A149" s="1" t="s">
        <v>11</v>
      </c>
      <c r="B149" s="7">
        <v>46022</v>
      </c>
      <c r="C149" s="5">
        <f>COUNTIF(B$114:B149,B149)</f>
        <v>2</v>
      </c>
      <c r="D149" s="12">
        <v>1600000</v>
      </c>
      <c r="E149" s="8">
        <v>16200</v>
      </c>
      <c r="F149" s="8">
        <v>42</v>
      </c>
      <c r="G149" s="8">
        <v>397</v>
      </c>
      <c r="H149" s="8">
        <v>50193</v>
      </c>
      <c r="I149" s="8">
        <v>5055</v>
      </c>
      <c r="J149" s="8">
        <v>12</v>
      </c>
    </row>
    <row r="150" spans="1:10">
      <c r="A150" s="1" t="s">
        <v>11</v>
      </c>
      <c r="B150" s="4">
        <v>46023</v>
      </c>
      <c r="C150" s="5">
        <f>COUNTIF(B$114:B150,B150)</f>
        <v>1</v>
      </c>
      <c r="D150" s="11">
        <v>2000000</v>
      </c>
      <c r="E150" s="6">
        <v>5749</v>
      </c>
      <c r="F150" s="6">
        <v>24</v>
      </c>
      <c r="G150" s="6">
        <v>345</v>
      </c>
      <c r="H150" s="6">
        <v>64976</v>
      </c>
      <c r="I150" s="6">
        <v>2872</v>
      </c>
      <c r="J150" s="6">
        <v>10</v>
      </c>
    </row>
    <row r="151" spans="1:10">
      <c r="A151" s="1" t="s">
        <v>11</v>
      </c>
      <c r="B151" s="7">
        <v>46024</v>
      </c>
      <c r="C151" s="5">
        <f>COUNTIF(B$114:B151,B151)</f>
        <v>1</v>
      </c>
      <c r="D151" s="12">
        <v>982600</v>
      </c>
      <c r="E151" s="8">
        <v>14000</v>
      </c>
      <c r="F151" s="8">
        <v>43</v>
      </c>
      <c r="G151" s="8">
        <v>634</v>
      </c>
      <c r="H151" s="8">
        <v>45606</v>
      </c>
      <c r="I151" s="8">
        <v>4725</v>
      </c>
      <c r="J151" s="8">
        <v>12</v>
      </c>
    </row>
    <row r="152" spans="1:10">
      <c r="A152" s="1" t="s">
        <v>11</v>
      </c>
      <c r="B152" s="4">
        <v>46024</v>
      </c>
      <c r="C152" s="5">
        <f>COUNTIF(B$114:B152,B152)</f>
        <v>2</v>
      </c>
      <c r="D152" s="11">
        <v>847900</v>
      </c>
      <c r="E152" s="6">
        <v>33200</v>
      </c>
      <c r="F152" s="6">
        <v>42</v>
      </c>
      <c r="G152" s="6">
        <v>366</v>
      </c>
      <c r="H152" s="6">
        <v>47190</v>
      </c>
      <c r="I152" s="6">
        <v>5130</v>
      </c>
      <c r="J152" s="6">
        <v>15</v>
      </c>
    </row>
    <row r="153" spans="1:10">
      <c r="A153" s="1" t="s">
        <v>11</v>
      </c>
      <c r="B153" s="7">
        <v>46025</v>
      </c>
      <c r="C153" s="5">
        <f>COUNTIF(B$114:B153,B153)</f>
        <v>1</v>
      </c>
      <c r="D153" s="12">
        <v>681300</v>
      </c>
      <c r="E153" s="8">
        <v>12600</v>
      </c>
      <c r="F153" s="8">
        <v>41</v>
      </c>
      <c r="G153" s="8">
        <v>509</v>
      </c>
      <c r="H153" s="8">
        <v>54284</v>
      </c>
      <c r="I153" s="8">
        <v>5019</v>
      </c>
      <c r="J153" s="8">
        <v>10</v>
      </c>
    </row>
    <row r="154" spans="1:10">
      <c r="A154" s="1" t="s">
        <v>11</v>
      </c>
      <c r="B154" s="4">
        <v>46025</v>
      </c>
      <c r="C154" s="5">
        <f>COUNTIF(B$114:B154,B154)</f>
        <v>2</v>
      </c>
      <c r="D154" s="11">
        <v>599100</v>
      </c>
      <c r="E154" s="6">
        <v>12400</v>
      </c>
      <c r="F154" s="6">
        <v>37</v>
      </c>
      <c r="G154" s="6">
        <v>459</v>
      </c>
      <c r="H154" s="6">
        <v>60108</v>
      </c>
      <c r="I154" s="6">
        <v>5126</v>
      </c>
      <c r="J154" s="6">
        <v>10</v>
      </c>
    </row>
    <row r="155" spans="1:10">
      <c r="A155" s="1" t="s">
        <v>11</v>
      </c>
      <c r="B155" s="7">
        <v>46026</v>
      </c>
      <c r="C155" s="5">
        <f>COUNTIF(B$114:B155,B155)</f>
        <v>1</v>
      </c>
      <c r="D155" s="12">
        <v>1100000</v>
      </c>
      <c r="E155" s="8">
        <v>14200</v>
      </c>
      <c r="F155" s="8">
        <v>44</v>
      </c>
      <c r="G155" s="8">
        <v>1227</v>
      </c>
      <c r="H155" s="25">
        <v>77534</v>
      </c>
      <c r="I155" s="8">
        <v>7442</v>
      </c>
      <c r="J155" s="8">
        <v>10</v>
      </c>
    </row>
    <row r="156" spans="1:10">
      <c r="A156" s="1" t="s">
        <v>11</v>
      </c>
      <c r="B156" s="4">
        <v>46026</v>
      </c>
      <c r="C156" s="5">
        <f>COUNTIF(B$114:B156,B156)</f>
        <v>2</v>
      </c>
      <c r="D156" s="11">
        <v>771300</v>
      </c>
      <c r="E156" s="6">
        <v>13000</v>
      </c>
      <c r="F156" s="6">
        <v>38</v>
      </c>
      <c r="G156" s="6">
        <v>705</v>
      </c>
      <c r="H156" s="26">
        <v>70339</v>
      </c>
      <c r="I156" s="6">
        <v>7323</v>
      </c>
      <c r="J156" s="6">
        <v>11</v>
      </c>
    </row>
    <row r="157" spans="1:10">
      <c r="A157" s="1" t="s">
        <v>11</v>
      </c>
      <c r="B157" s="7">
        <v>46028</v>
      </c>
      <c r="C157" s="5">
        <f>COUNTIF(B$114:B157,B157)</f>
        <v>1</v>
      </c>
      <c r="D157" s="12">
        <v>671400</v>
      </c>
      <c r="E157" s="8">
        <v>7242</v>
      </c>
      <c r="F157" s="8">
        <v>33</v>
      </c>
      <c r="G157" s="8">
        <v>604</v>
      </c>
      <c r="H157" s="8">
        <v>56904</v>
      </c>
      <c r="I157" s="8">
        <v>6219</v>
      </c>
      <c r="J157" s="8">
        <v>10</v>
      </c>
    </row>
    <row r="158" spans="1:10">
      <c r="A158" s="1" t="s">
        <v>11</v>
      </c>
      <c r="B158" s="4">
        <v>46028</v>
      </c>
      <c r="C158" s="5">
        <f>COUNTIF(B$114:B158,B158)</f>
        <v>2</v>
      </c>
      <c r="D158" s="11">
        <v>2000000</v>
      </c>
      <c r="E158" s="6">
        <v>20900</v>
      </c>
      <c r="F158" s="6">
        <v>42</v>
      </c>
      <c r="G158" s="6">
        <v>1372</v>
      </c>
      <c r="H158" s="6">
        <v>121892</v>
      </c>
      <c r="I158" s="6">
        <v>11300</v>
      </c>
      <c r="J158" s="6">
        <v>9</v>
      </c>
    </row>
    <row r="159" spans="1:10">
      <c r="A159" s="1" t="s">
        <v>11</v>
      </c>
      <c r="B159" s="7">
        <v>46029</v>
      </c>
      <c r="C159" s="5">
        <f>COUNTIF(B$114:B159,B159)</f>
        <v>1</v>
      </c>
      <c r="D159" s="12">
        <v>1000000</v>
      </c>
      <c r="E159" s="8">
        <v>13500</v>
      </c>
      <c r="F159" s="8">
        <v>37</v>
      </c>
      <c r="G159" s="8">
        <v>982</v>
      </c>
      <c r="H159" s="8">
        <v>93640</v>
      </c>
      <c r="I159" s="8">
        <v>9615</v>
      </c>
      <c r="J159" s="8">
        <v>8</v>
      </c>
    </row>
    <row r="160" spans="1:10">
      <c r="A160" s="1" t="s">
        <v>11</v>
      </c>
      <c r="B160" s="4">
        <v>46029</v>
      </c>
      <c r="C160" s="5">
        <f>COUNTIF(B$114:B160,B160)</f>
        <v>2</v>
      </c>
      <c r="D160" s="11">
        <v>3500000</v>
      </c>
      <c r="E160" s="6">
        <v>28200</v>
      </c>
      <c r="F160" s="6">
        <v>45</v>
      </c>
      <c r="G160" s="6">
        <v>1141</v>
      </c>
      <c r="H160" s="6">
        <v>101692</v>
      </c>
      <c r="I160" s="6">
        <v>11700</v>
      </c>
      <c r="J160" s="6">
        <v>13</v>
      </c>
    </row>
    <row r="161" spans="1:10">
      <c r="A161" s="1" t="s">
        <v>11</v>
      </c>
      <c r="B161" s="7">
        <v>46030</v>
      </c>
      <c r="C161" s="5">
        <f>COUNTIF(B$114:B161,B161)</f>
        <v>1</v>
      </c>
      <c r="D161" s="12">
        <v>1900000</v>
      </c>
      <c r="E161" s="8">
        <v>18600</v>
      </c>
      <c r="F161" s="8">
        <v>40</v>
      </c>
      <c r="G161" s="8">
        <v>602</v>
      </c>
      <c r="H161" s="8">
        <v>74642</v>
      </c>
      <c r="I161" s="8">
        <v>9309</v>
      </c>
      <c r="J161" s="8">
        <v>13</v>
      </c>
    </row>
    <row r="162" spans="1:10">
      <c r="A162" s="1" t="s">
        <v>11</v>
      </c>
      <c r="B162" s="4">
        <v>46030</v>
      </c>
      <c r="C162" s="5">
        <f>COUNTIF(B$114:B162,B162)</f>
        <v>2</v>
      </c>
      <c r="D162" s="11">
        <v>2700000</v>
      </c>
      <c r="E162" s="6">
        <v>17700</v>
      </c>
      <c r="F162" s="6">
        <v>42</v>
      </c>
      <c r="G162" s="6">
        <v>822</v>
      </c>
      <c r="H162" s="6">
        <v>92906</v>
      </c>
      <c r="I162" s="6">
        <v>10900</v>
      </c>
      <c r="J162" s="6">
        <v>14</v>
      </c>
    </row>
    <row r="163" spans="1:10">
      <c r="A163" s="1" t="s">
        <v>11</v>
      </c>
      <c r="B163" s="7">
        <v>46031</v>
      </c>
      <c r="C163" s="5">
        <f>COUNTIF(B$114:B163,B163)</f>
        <v>1</v>
      </c>
      <c r="D163" s="12">
        <v>1800000</v>
      </c>
      <c r="E163" s="8">
        <v>12800</v>
      </c>
      <c r="F163" s="8">
        <v>38</v>
      </c>
      <c r="G163" s="8">
        <v>440</v>
      </c>
      <c r="H163" s="8">
        <v>80695</v>
      </c>
      <c r="I163" s="8">
        <v>9600</v>
      </c>
      <c r="J163" s="8">
        <v>12</v>
      </c>
    </row>
    <row r="164" spans="1:10">
      <c r="A164" s="1" t="s">
        <v>11</v>
      </c>
      <c r="B164" s="4">
        <v>46032</v>
      </c>
      <c r="C164" s="5">
        <f>COUNTIF(B$114:B164,B164)</f>
        <v>1</v>
      </c>
      <c r="D164" s="11">
        <v>1600000</v>
      </c>
      <c r="E164" s="6">
        <v>18200</v>
      </c>
      <c r="F164" s="6">
        <v>39</v>
      </c>
      <c r="G164" s="6">
        <v>502</v>
      </c>
      <c r="H164" s="6">
        <v>74577</v>
      </c>
      <c r="I164" s="6">
        <v>8361</v>
      </c>
      <c r="J164" s="6">
        <v>14</v>
      </c>
    </row>
    <row r="165" spans="1:10">
      <c r="A165" s="1" t="s">
        <v>11</v>
      </c>
      <c r="B165" s="7">
        <v>46032</v>
      </c>
      <c r="C165" s="5">
        <f>COUNTIF(B$114:B165,B165)</f>
        <v>2</v>
      </c>
      <c r="D165" s="12">
        <v>1600000</v>
      </c>
      <c r="E165" s="8">
        <v>19400</v>
      </c>
      <c r="F165" s="8">
        <v>38</v>
      </c>
      <c r="G165" s="8">
        <v>475</v>
      </c>
      <c r="H165" s="8">
        <v>81828</v>
      </c>
      <c r="I165" s="8">
        <v>9256</v>
      </c>
      <c r="J165" s="8">
        <v>14</v>
      </c>
    </row>
    <row r="166" spans="1:10">
      <c r="A166" s="1" t="s">
        <v>11</v>
      </c>
      <c r="B166" s="4">
        <v>46033</v>
      </c>
      <c r="C166" s="5">
        <f>COUNTIF(B$114:B166,B166)</f>
        <v>1</v>
      </c>
      <c r="D166" s="11">
        <v>2900000</v>
      </c>
      <c r="E166" s="6">
        <v>22700</v>
      </c>
      <c r="F166" s="6">
        <v>47</v>
      </c>
      <c r="G166" s="6">
        <v>957</v>
      </c>
      <c r="H166" s="6">
        <v>124946</v>
      </c>
      <c r="I166" s="6">
        <v>11200</v>
      </c>
      <c r="J166" s="6">
        <v>11</v>
      </c>
    </row>
    <row r="167" spans="1:10">
      <c r="A167" s="1" t="s">
        <v>11</v>
      </c>
      <c r="B167" s="7">
        <v>46033</v>
      </c>
      <c r="C167" s="5">
        <f>COUNTIF(B$114:B167,B167)</f>
        <v>2</v>
      </c>
      <c r="D167" s="12">
        <v>259600</v>
      </c>
      <c r="E167" s="8">
        <v>8466</v>
      </c>
      <c r="F167" s="8">
        <v>9</v>
      </c>
      <c r="G167" s="8">
        <v>152</v>
      </c>
      <c r="H167" s="8">
        <v>31662</v>
      </c>
      <c r="I167" s="8">
        <v>5996</v>
      </c>
      <c r="J167" s="8">
        <v>9</v>
      </c>
    </row>
    <row r="168" spans="1:10">
      <c r="A168" s="1" t="s">
        <v>11</v>
      </c>
      <c r="B168" s="4">
        <v>46033</v>
      </c>
      <c r="C168" s="5">
        <f>COUNTIF(B$114:B168,B168)</f>
        <v>3</v>
      </c>
      <c r="D168" s="11">
        <v>2000000</v>
      </c>
      <c r="E168" s="6">
        <v>18900</v>
      </c>
      <c r="F168" s="6">
        <v>41</v>
      </c>
      <c r="G168" s="6">
        <v>839</v>
      </c>
      <c r="H168" s="6">
        <v>101001</v>
      </c>
      <c r="I168" s="6">
        <v>12700</v>
      </c>
      <c r="J168" s="6">
        <v>12</v>
      </c>
    </row>
    <row r="169" spans="1:10">
      <c r="A169" s="1" t="s">
        <v>11</v>
      </c>
      <c r="B169" s="7">
        <v>46035</v>
      </c>
      <c r="C169" s="5">
        <f>COUNTIF(B$114:B169,B169)</f>
        <v>1</v>
      </c>
      <c r="D169" s="12">
        <v>1500000</v>
      </c>
      <c r="E169" s="8">
        <v>13000</v>
      </c>
      <c r="F169" s="8">
        <v>37</v>
      </c>
      <c r="G169" s="8">
        <v>386</v>
      </c>
      <c r="H169" s="8">
        <v>108480</v>
      </c>
      <c r="I169" s="8">
        <v>10800</v>
      </c>
      <c r="J169" s="8">
        <v>11</v>
      </c>
    </row>
    <row r="170" spans="1:10">
      <c r="A170" s="1" t="s">
        <v>11</v>
      </c>
      <c r="B170" s="4">
        <v>46036</v>
      </c>
      <c r="C170" s="5">
        <f>COUNTIF(B$114:B170,B170)</f>
        <v>1</v>
      </c>
      <c r="D170" s="11">
        <v>1600000</v>
      </c>
      <c r="E170" s="6">
        <v>12600</v>
      </c>
      <c r="F170" s="6">
        <v>39</v>
      </c>
      <c r="G170" s="6">
        <v>441</v>
      </c>
      <c r="H170" s="6">
        <v>82409</v>
      </c>
      <c r="I170" s="6">
        <v>9298</v>
      </c>
      <c r="J170" s="6">
        <v>12</v>
      </c>
    </row>
    <row r="171" spans="1:10">
      <c r="A171" s="1" t="s">
        <v>11</v>
      </c>
      <c r="B171" s="7">
        <v>46036</v>
      </c>
      <c r="C171" s="5">
        <f>COUNTIF(B$114:B171,B171)</f>
        <v>2</v>
      </c>
      <c r="D171" s="12">
        <v>2700000</v>
      </c>
      <c r="E171" s="8">
        <v>39500</v>
      </c>
      <c r="F171" s="8">
        <v>47</v>
      </c>
      <c r="G171" s="8">
        <v>693</v>
      </c>
      <c r="H171" s="8">
        <v>100829</v>
      </c>
      <c r="I171" s="8">
        <v>14700</v>
      </c>
      <c r="J171" s="8">
        <v>17</v>
      </c>
    </row>
    <row r="172" spans="1:10">
      <c r="A172" s="1" t="s">
        <v>11</v>
      </c>
      <c r="B172" s="4">
        <v>46037</v>
      </c>
      <c r="C172" s="5">
        <f>COUNTIF(B$114:B172,B172)</f>
        <v>1</v>
      </c>
      <c r="D172" s="11">
        <v>1800000</v>
      </c>
      <c r="E172" s="6">
        <v>18000</v>
      </c>
      <c r="F172" s="6">
        <v>41</v>
      </c>
      <c r="G172" s="6">
        <v>324</v>
      </c>
      <c r="H172" s="6">
        <v>73451</v>
      </c>
      <c r="I172" s="6">
        <v>9724</v>
      </c>
      <c r="J172" s="6">
        <v>17</v>
      </c>
    </row>
    <row r="173" spans="1:10">
      <c r="A173" s="1" t="s">
        <v>11</v>
      </c>
      <c r="B173" s="7">
        <v>46037</v>
      </c>
      <c r="C173" s="5">
        <f>COUNTIF(B$114:B173,B173)</f>
        <v>2</v>
      </c>
      <c r="D173" s="12">
        <v>1600000</v>
      </c>
      <c r="E173" s="8">
        <v>16600</v>
      </c>
      <c r="F173" s="8">
        <v>42</v>
      </c>
      <c r="G173" s="8">
        <v>327</v>
      </c>
      <c r="H173" s="8">
        <v>82297</v>
      </c>
      <c r="I173" s="8">
        <v>12200</v>
      </c>
      <c r="J173" s="8">
        <v>18</v>
      </c>
    </row>
    <row r="174" spans="1:10">
      <c r="A174" s="1" t="s">
        <v>11</v>
      </c>
      <c r="B174" s="4">
        <v>46038</v>
      </c>
      <c r="C174" s="5">
        <f>COUNTIF(B$114:B174,B174)</f>
        <v>1</v>
      </c>
      <c r="D174" s="11">
        <v>2000000</v>
      </c>
      <c r="E174" s="6">
        <v>20700</v>
      </c>
      <c r="F174" s="6">
        <v>45</v>
      </c>
      <c r="G174" s="6">
        <v>348</v>
      </c>
      <c r="H174" s="6">
        <v>80189</v>
      </c>
      <c r="I174" s="6">
        <v>12200</v>
      </c>
      <c r="J174" s="6">
        <v>17</v>
      </c>
    </row>
    <row r="175" spans="1:10">
      <c r="A175" s="1" t="s">
        <v>11</v>
      </c>
      <c r="B175" s="7">
        <v>46038</v>
      </c>
      <c r="C175" s="5">
        <f>COUNTIF(B$114:B175,B175)</f>
        <v>2</v>
      </c>
      <c r="D175" s="12">
        <v>2200000</v>
      </c>
      <c r="E175" s="8">
        <v>37600</v>
      </c>
      <c r="F175" s="8">
        <v>46</v>
      </c>
      <c r="G175" s="8">
        <v>442</v>
      </c>
      <c r="H175" s="8">
        <v>92081</v>
      </c>
      <c r="I175" s="8">
        <v>15900</v>
      </c>
      <c r="J175" s="8">
        <v>19</v>
      </c>
    </row>
    <row r="176" spans="1:10">
      <c r="A176" s="1" t="s">
        <v>11</v>
      </c>
      <c r="B176" s="4">
        <v>46039</v>
      </c>
      <c r="C176" s="5">
        <f>COUNTIF(B$114:B176,B176)</f>
        <v>1</v>
      </c>
      <c r="D176" s="11">
        <v>1900000</v>
      </c>
      <c r="E176" s="6">
        <v>29000</v>
      </c>
      <c r="F176" s="6">
        <v>43</v>
      </c>
      <c r="G176" s="6">
        <v>410</v>
      </c>
      <c r="H176" s="6">
        <v>87478</v>
      </c>
      <c r="I176" s="6">
        <v>14700</v>
      </c>
      <c r="J176" s="6">
        <v>16</v>
      </c>
    </row>
    <row r="177" spans="1:10">
      <c r="A177" s="1" t="s">
        <v>11</v>
      </c>
      <c r="B177" s="7">
        <v>46039</v>
      </c>
      <c r="C177" s="5">
        <f>COUNTIF(B$114:B177,B177)</f>
        <v>2</v>
      </c>
      <c r="D177" s="12">
        <v>2000000</v>
      </c>
      <c r="E177" s="8">
        <v>63400</v>
      </c>
      <c r="F177" s="8">
        <v>44</v>
      </c>
      <c r="G177" s="8">
        <v>440</v>
      </c>
      <c r="H177" s="8">
        <v>100177</v>
      </c>
      <c r="I177" s="8">
        <v>16600</v>
      </c>
      <c r="J177" s="8">
        <v>18</v>
      </c>
    </row>
    <row r="178" spans="1:10">
      <c r="A178" s="1" t="s">
        <v>11</v>
      </c>
      <c r="B178" s="4">
        <v>46040</v>
      </c>
      <c r="C178" s="5">
        <f>COUNTIF(B$114:B178,B178)</f>
        <v>1</v>
      </c>
      <c r="D178" s="11">
        <v>2400000</v>
      </c>
      <c r="E178" s="6">
        <v>34600</v>
      </c>
      <c r="F178" s="6">
        <v>51</v>
      </c>
      <c r="G178" s="6">
        <v>521</v>
      </c>
      <c r="H178" s="6">
        <v>114768</v>
      </c>
      <c r="I178" s="6">
        <v>16400</v>
      </c>
      <c r="J178" s="6">
        <v>21</v>
      </c>
    </row>
    <row r="179" spans="1:10">
      <c r="A179" s="1" t="s">
        <v>11</v>
      </c>
      <c r="B179" s="7">
        <v>46042</v>
      </c>
      <c r="C179" s="5">
        <f>COUNTIF(B$114:B179,B179)</f>
        <v>1</v>
      </c>
      <c r="D179" s="12">
        <v>2100000</v>
      </c>
      <c r="E179" s="8">
        <v>22000</v>
      </c>
      <c r="F179" s="8">
        <v>46</v>
      </c>
      <c r="G179" s="8">
        <v>482</v>
      </c>
      <c r="H179" s="8">
        <v>89738</v>
      </c>
      <c r="I179" s="8">
        <v>12100</v>
      </c>
      <c r="J179" s="8">
        <v>16</v>
      </c>
    </row>
    <row r="180" spans="1:10">
      <c r="A180" s="1" t="s">
        <v>11</v>
      </c>
      <c r="B180" s="4">
        <v>46042</v>
      </c>
      <c r="C180" s="5">
        <f>COUNTIF(B$114:B180,B180)</f>
        <v>2</v>
      </c>
      <c r="D180" s="11">
        <v>1800000</v>
      </c>
      <c r="E180" s="6">
        <v>19300</v>
      </c>
      <c r="F180" s="6">
        <v>45</v>
      </c>
      <c r="G180" s="6">
        <v>422</v>
      </c>
      <c r="H180" s="6">
        <v>95714</v>
      </c>
      <c r="I180" s="6">
        <v>15100</v>
      </c>
      <c r="J180" s="6">
        <v>19</v>
      </c>
    </row>
    <row r="181" spans="1:10">
      <c r="A181" s="1" t="s">
        <v>11</v>
      </c>
      <c r="B181" s="7">
        <v>46043</v>
      </c>
      <c r="C181" s="5">
        <f>COUNTIF(B$114:B181,B181)</f>
        <v>1</v>
      </c>
      <c r="D181" s="12">
        <v>1800000</v>
      </c>
      <c r="E181" s="8">
        <v>24100</v>
      </c>
      <c r="F181" s="8">
        <v>48</v>
      </c>
      <c r="G181" s="8">
        <v>346</v>
      </c>
      <c r="H181" s="8">
        <v>85179</v>
      </c>
      <c r="I181" s="8">
        <v>12700</v>
      </c>
      <c r="J181" s="8">
        <v>18</v>
      </c>
    </row>
    <row r="182" spans="1:10">
      <c r="A182" s="1" t="s">
        <v>11</v>
      </c>
      <c r="B182" s="4">
        <v>46043</v>
      </c>
      <c r="C182" s="5">
        <f>COUNTIF(B$114:B182,B182)</f>
        <v>2</v>
      </c>
      <c r="D182" s="11">
        <v>4300000</v>
      </c>
      <c r="E182" s="6">
        <v>28600</v>
      </c>
      <c r="F182" s="6">
        <v>45</v>
      </c>
      <c r="G182" s="6">
        <v>613</v>
      </c>
      <c r="H182" s="6">
        <v>104474</v>
      </c>
      <c r="I182" s="6">
        <v>17200</v>
      </c>
      <c r="J182" s="6">
        <v>17</v>
      </c>
    </row>
    <row r="183" spans="1:10">
      <c r="A183" s="1" t="s">
        <v>11</v>
      </c>
      <c r="B183" s="7">
        <v>46044</v>
      </c>
      <c r="C183" s="5">
        <f>COUNTIF(B$114:B183,B183)</f>
        <v>1</v>
      </c>
      <c r="D183" s="12">
        <v>3200000</v>
      </c>
      <c r="E183" s="8">
        <v>30700</v>
      </c>
      <c r="F183" s="8">
        <v>51</v>
      </c>
      <c r="G183" s="8">
        <v>409</v>
      </c>
      <c r="H183" s="8">
        <v>98903</v>
      </c>
      <c r="I183" s="8">
        <v>13500</v>
      </c>
      <c r="J183" s="8">
        <v>19</v>
      </c>
    </row>
    <row r="184" spans="1:10">
      <c r="A184" s="1" t="s">
        <v>11</v>
      </c>
      <c r="B184" s="4">
        <v>46044</v>
      </c>
      <c r="C184" s="5">
        <f>COUNTIF(B$114:B184,B184)</f>
        <v>2</v>
      </c>
      <c r="D184" s="11">
        <v>3000000</v>
      </c>
      <c r="E184" s="6">
        <v>31800</v>
      </c>
      <c r="F184" s="6">
        <v>47</v>
      </c>
      <c r="G184" s="6">
        <v>403</v>
      </c>
      <c r="H184" s="6">
        <v>100249</v>
      </c>
      <c r="I184" s="6">
        <v>16000</v>
      </c>
      <c r="J184" s="6">
        <v>20</v>
      </c>
    </row>
    <row r="185" spans="1:10">
      <c r="A185" s="1" t="s">
        <v>11</v>
      </c>
      <c r="B185" s="7">
        <v>46045</v>
      </c>
      <c r="C185" s="5">
        <f>COUNTIF(B$114:B185,B185)</f>
        <v>1</v>
      </c>
      <c r="D185" s="12">
        <v>2900000</v>
      </c>
      <c r="E185" s="8">
        <v>35600</v>
      </c>
      <c r="F185" s="8">
        <v>46</v>
      </c>
      <c r="G185" s="8">
        <v>503</v>
      </c>
      <c r="H185" s="8">
        <v>83170</v>
      </c>
      <c r="I185" s="8">
        <v>12700</v>
      </c>
      <c r="J185" s="8">
        <v>21</v>
      </c>
    </row>
    <row r="186" spans="1:10">
      <c r="A186" s="1" t="s">
        <v>11</v>
      </c>
      <c r="B186" s="4">
        <v>46045</v>
      </c>
      <c r="C186" s="5">
        <f>COUNTIF(B$114:B186,B186)</f>
        <v>2</v>
      </c>
      <c r="D186" s="11">
        <v>3000000</v>
      </c>
      <c r="E186" s="6">
        <v>20400</v>
      </c>
      <c r="F186" s="6">
        <v>43</v>
      </c>
      <c r="G186" s="6">
        <v>655</v>
      </c>
      <c r="H186" s="6">
        <v>101337</v>
      </c>
      <c r="I186" s="6">
        <v>15200</v>
      </c>
      <c r="J186" s="6">
        <v>18</v>
      </c>
    </row>
    <row r="187" spans="1:10">
      <c r="A187" s="1" t="s">
        <v>11</v>
      </c>
      <c r="B187" s="7">
        <v>46046</v>
      </c>
      <c r="C187" s="5">
        <f>COUNTIF(B$114:B187,B187)</f>
        <v>1</v>
      </c>
      <c r="D187" s="12">
        <v>2400000</v>
      </c>
      <c r="E187" s="8">
        <v>26200</v>
      </c>
      <c r="F187" s="8">
        <v>45</v>
      </c>
      <c r="G187" s="8">
        <v>658</v>
      </c>
      <c r="H187" s="8">
        <v>94870</v>
      </c>
      <c r="I187" s="8">
        <v>13600</v>
      </c>
      <c r="J187" s="8">
        <v>17</v>
      </c>
    </row>
    <row r="188" spans="1:10">
      <c r="A188" s="1" t="s">
        <v>11</v>
      </c>
      <c r="B188" s="4">
        <v>46046</v>
      </c>
      <c r="C188" s="5">
        <f>COUNTIF(B$114:B188,B188)</f>
        <v>2</v>
      </c>
      <c r="D188" s="11">
        <v>2800000</v>
      </c>
      <c r="E188" s="6">
        <v>39800</v>
      </c>
      <c r="F188" s="6">
        <v>45</v>
      </c>
      <c r="G188" s="6">
        <v>679</v>
      </c>
      <c r="H188" s="6">
        <v>113890</v>
      </c>
      <c r="I188" s="6">
        <v>15600</v>
      </c>
      <c r="J188" s="6">
        <v>19</v>
      </c>
    </row>
    <row r="189" spans="1:10">
      <c r="A189" s="1" t="s">
        <v>11</v>
      </c>
      <c r="B189" s="7">
        <v>46047</v>
      </c>
      <c r="C189" s="5">
        <f>COUNTIF(B$114:B189,B189)</f>
        <v>1</v>
      </c>
      <c r="D189" s="12">
        <v>3400000</v>
      </c>
      <c r="E189" s="8">
        <v>25800</v>
      </c>
      <c r="F189" s="8">
        <v>43</v>
      </c>
      <c r="G189" s="8">
        <v>318</v>
      </c>
      <c r="H189" s="8">
        <v>64297</v>
      </c>
      <c r="I189" s="8">
        <v>14100</v>
      </c>
      <c r="J189" s="8">
        <v>29</v>
      </c>
    </row>
    <row r="190" spans="1:10">
      <c r="A190" s="1" t="s">
        <v>11</v>
      </c>
      <c r="B190" s="7">
        <v>46049</v>
      </c>
      <c r="C190" s="5">
        <f>COUNTIF(B$114:B190,B190)</f>
        <v>1</v>
      </c>
      <c r="D190" s="12">
        <v>2700000</v>
      </c>
      <c r="E190" s="8">
        <v>22800</v>
      </c>
      <c r="F190" s="8">
        <v>41</v>
      </c>
      <c r="G190" s="8">
        <v>323</v>
      </c>
      <c r="H190" s="8">
        <v>64280</v>
      </c>
      <c r="I190" s="8">
        <v>12000</v>
      </c>
      <c r="J190" s="8">
        <v>27</v>
      </c>
    </row>
    <row r="191" spans="1:10">
      <c r="A191" s="1" t="s">
        <v>11</v>
      </c>
      <c r="B191" s="4">
        <v>46049</v>
      </c>
      <c r="C191" s="5">
        <f>COUNTIF(B$114:B191,B191)</f>
        <v>2</v>
      </c>
      <c r="D191" s="11">
        <v>3100000</v>
      </c>
      <c r="E191" s="6">
        <v>39400</v>
      </c>
      <c r="F191" s="6">
        <v>44</v>
      </c>
      <c r="G191" s="6">
        <v>268</v>
      </c>
      <c r="H191" s="6">
        <v>78096</v>
      </c>
      <c r="I191" s="6">
        <v>16500</v>
      </c>
      <c r="J191" s="6">
        <v>30</v>
      </c>
    </row>
    <row r="192" spans="1:10">
      <c r="A192" s="1" t="s">
        <v>11</v>
      </c>
      <c r="B192" s="7">
        <v>46050</v>
      </c>
      <c r="C192" s="5">
        <f>COUNTIF(B$114:B192,B192)</f>
        <v>1</v>
      </c>
      <c r="D192" s="12">
        <v>2200000</v>
      </c>
      <c r="E192" s="8">
        <v>17200</v>
      </c>
      <c r="F192" s="8">
        <v>40</v>
      </c>
      <c r="G192" s="8">
        <v>249</v>
      </c>
      <c r="H192" s="8">
        <v>60094</v>
      </c>
      <c r="I192" s="8">
        <v>11600</v>
      </c>
      <c r="J192" s="8">
        <v>26</v>
      </c>
    </row>
    <row r="193" spans="1:10">
      <c r="A193" s="1" t="s">
        <v>11</v>
      </c>
      <c r="B193" s="4">
        <v>46050</v>
      </c>
      <c r="C193" s="5">
        <f>COUNTIF(B$114:B193,B193)</f>
        <v>2</v>
      </c>
      <c r="D193" s="11">
        <v>3300000</v>
      </c>
      <c r="E193" s="6">
        <v>38000</v>
      </c>
      <c r="F193" s="6">
        <v>46</v>
      </c>
      <c r="G193" s="6">
        <v>388</v>
      </c>
      <c r="H193" s="6">
        <v>96036</v>
      </c>
      <c r="I193" s="6">
        <v>16100</v>
      </c>
      <c r="J193" s="6">
        <v>30</v>
      </c>
    </row>
    <row r="194" spans="1:10">
      <c r="A194" s="1" t="s">
        <v>11</v>
      </c>
      <c r="B194" s="7">
        <v>46051</v>
      </c>
      <c r="C194" s="5">
        <f>COUNTIF(B$114:B194,B194)</f>
        <v>1</v>
      </c>
      <c r="D194" s="12">
        <v>2400000</v>
      </c>
      <c r="E194" s="8">
        <v>30200</v>
      </c>
      <c r="F194" s="8">
        <v>46</v>
      </c>
      <c r="G194" s="8">
        <v>272</v>
      </c>
      <c r="H194" s="8">
        <v>66814</v>
      </c>
      <c r="I194" s="8">
        <v>12600</v>
      </c>
      <c r="J194" s="8">
        <v>30</v>
      </c>
    </row>
    <row r="195" spans="1:10">
      <c r="A195" s="1" t="s">
        <v>11</v>
      </c>
      <c r="B195" s="4">
        <v>46051</v>
      </c>
      <c r="C195" s="5">
        <f>COUNTIF(B$114:B195,B195)</f>
        <v>2</v>
      </c>
      <c r="D195" s="11">
        <v>2800000</v>
      </c>
      <c r="E195" s="6">
        <v>50900</v>
      </c>
      <c r="F195" s="6">
        <v>39</v>
      </c>
      <c r="G195" s="6">
        <v>601</v>
      </c>
      <c r="H195" s="6">
        <v>133682</v>
      </c>
      <c r="I195" s="6">
        <v>16600</v>
      </c>
      <c r="J195" s="6">
        <v>21</v>
      </c>
    </row>
    <row r="196" spans="1:10">
      <c r="A196" s="1" t="s">
        <v>11</v>
      </c>
      <c r="B196" s="7">
        <v>46052</v>
      </c>
      <c r="C196" s="5">
        <f>COUNTIF(B$114:B196,B196)</f>
        <v>1</v>
      </c>
      <c r="D196" s="12">
        <v>2100000</v>
      </c>
      <c r="E196" s="8">
        <v>30700</v>
      </c>
      <c r="F196" s="8">
        <v>36</v>
      </c>
      <c r="G196" s="8">
        <v>277</v>
      </c>
      <c r="H196" s="8">
        <v>115427</v>
      </c>
      <c r="I196" s="8">
        <v>12500</v>
      </c>
      <c r="J196" s="8">
        <v>26</v>
      </c>
    </row>
    <row r="197" spans="1:10">
      <c r="A197" s="1" t="s">
        <v>11</v>
      </c>
      <c r="B197" s="4">
        <v>46052</v>
      </c>
      <c r="C197" s="5">
        <f>COUNTIF(B$114:B197,B197)</f>
        <v>2</v>
      </c>
      <c r="D197" s="11">
        <v>2900000</v>
      </c>
      <c r="E197" s="6">
        <v>51000</v>
      </c>
      <c r="F197" s="6">
        <v>39</v>
      </c>
      <c r="G197" s="6">
        <v>349</v>
      </c>
      <c r="H197" s="6">
        <v>86747</v>
      </c>
      <c r="I197" s="6">
        <v>18400</v>
      </c>
      <c r="J197" s="6">
        <v>27</v>
      </c>
    </row>
    <row r="198" spans="1:10">
      <c r="A198" s="1" t="s">
        <v>11</v>
      </c>
      <c r="B198" s="7">
        <v>46053</v>
      </c>
      <c r="C198" s="5">
        <f>COUNTIF(B$114:B198,B198)</f>
        <v>1</v>
      </c>
      <c r="D198" s="12">
        <v>2500000</v>
      </c>
      <c r="E198" s="8">
        <v>26800</v>
      </c>
      <c r="F198" s="8">
        <v>45</v>
      </c>
      <c r="G198" s="8">
        <v>240</v>
      </c>
      <c r="H198" s="8">
        <v>63027</v>
      </c>
      <c r="I198" s="8">
        <v>14600</v>
      </c>
      <c r="J198" s="8">
        <v>33</v>
      </c>
    </row>
    <row r="199" spans="1:10">
      <c r="A199" s="1" t="s">
        <v>11</v>
      </c>
      <c r="B199" s="4">
        <v>46053</v>
      </c>
      <c r="C199" s="5">
        <f>COUNTIF(B$114:B199,B199)</f>
        <v>2</v>
      </c>
      <c r="D199" s="11">
        <v>2400000</v>
      </c>
      <c r="E199" s="6">
        <v>31200</v>
      </c>
      <c r="F199" s="6">
        <v>36</v>
      </c>
      <c r="G199" s="6">
        <v>278</v>
      </c>
      <c r="H199" s="6">
        <v>84059</v>
      </c>
      <c r="I199" s="6">
        <v>14700</v>
      </c>
      <c r="J199" s="6">
        <v>26</v>
      </c>
    </row>
    <row r="200" spans="1:10">
      <c r="A200" s="1" t="s">
        <v>11</v>
      </c>
      <c r="B200" s="7">
        <v>46054</v>
      </c>
      <c r="C200" s="5">
        <f>COUNTIF(B$114:B200,B200)</f>
        <v>1</v>
      </c>
      <c r="D200" s="12">
        <v>2600000</v>
      </c>
      <c r="E200" s="8">
        <v>24300</v>
      </c>
      <c r="F200" s="8">
        <v>43</v>
      </c>
      <c r="G200" s="8">
        <v>192</v>
      </c>
      <c r="H200" s="8">
        <v>74152</v>
      </c>
      <c r="I200" s="8">
        <v>13000</v>
      </c>
      <c r="J200" s="8">
        <v>31</v>
      </c>
    </row>
    <row r="201" spans="1:10">
      <c r="A201" s="1" t="s">
        <v>11</v>
      </c>
      <c r="B201" s="4">
        <v>46054</v>
      </c>
      <c r="C201" s="5">
        <f>COUNTIF(B$114:B201,B201)</f>
        <v>2</v>
      </c>
      <c r="D201" s="11">
        <v>2100000</v>
      </c>
      <c r="E201" s="6">
        <v>27500</v>
      </c>
      <c r="F201" s="6">
        <v>35</v>
      </c>
      <c r="G201" s="6">
        <v>275</v>
      </c>
      <c r="H201" s="6">
        <v>86076</v>
      </c>
      <c r="I201" s="6">
        <v>15200</v>
      </c>
      <c r="J201" s="6">
        <v>21</v>
      </c>
    </row>
    <row r="202" spans="1:10">
      <c r="A202" s="1" t="s">
        <v>11</v>
      </c>
      <c r="B202" s="7">
        <v>46056</v>
      </c>
      <c r="C202" s="5">
        <f>COUNTIF(B$114:B202,B202)</f>
        <v>1</v>
      </c>
      <c r="D202" s="12">
        <v>2300000</v>
      </c>
      <c r="E202" s="8">
        <v>19500</v>
      </c>
      <c r="F202" s="8">
        <v>45</v>
      </c>
      <c r="G202" s="8">
        <v>350</v>
      </c>
      <c r="H202" s="8">
        <v>99659</v>
      </c>
      <c r="I202" s="8">
        <v>13800</v>
      </c>
      <c r="J202" s="8">
        <v>18</v>
      </c>
    </row>
    <row r="203" spans="1:10">
      <c r="A203" s="1" t="s">
        <v>11</v>
      </c>
      <c r="B203" s="4">
        <v>46056</v>
      </c>
      <c r="C203" s="5">
        <f>COUNTIF(B$114:B203,B203)</f>
        <v>2</v>
      </c>
      <c r="D203" s="11">
        <v>2000000</v>
      </c>
      <c r="E203" s="6">
        <v>26600</v>
      </c>
      <c r="F203" s="6">
        <v>35</v>
      </c>
      <c r="G203" s="6">
        <v>286</v>
      </c>
      <c r="H203" s="6">
        <v>117352</v>
      </c>
      <c r="I203" s="6">
        <v>16700</v>
      </c>
      <c r="J203" s="6">
        <v>14</v>
      </c>
    </row>
    <row r="204" spans="1:10">
      <c r="A204" s="1" t="s">
        <v>11</v>
      </c>
      <c r="B204" s="7">
        <v>46057</v>
      </c>
      <c r="C204" s="5">
        <f>COUNTIF(B$114:B204,B204)</f>
        <v>1</v>
      </c>
      <c r="D204" s="12">
        <v>1900000</v>
      </c>
      <c r="E204" s="8">
        <v>35700</v>
      </c>
      <c r="F204" s="8">
        <v>41</v>
      </c>
      <c r="G204" s="8">
        <v>357</v>
      </c>
      <c r="H204" s="25">
        <v>101049</v>
      </c>
      <c r="I204" s="8">
        <v>14300</v>
      </c>
      <c r="J204" s="8">
        <v>15</v>
      </c>
    </row>
    <row r="205" spans="1:10">
      <c r="A205" s="1" t="s">
        <v>11</v>
      </c>
      <c r="B205" s="4">
        <v>46057</v>
      </c>
      <c r="C205" s="5">
        <f>COUNTIF(B$114:B205,B205)</f>
        <v>2</v>
      </c>
      <c r="D205" s="11">
        <v>2600000</v>
      </c>
      <c r="E205" s="6">
        <v>39300</v>
      </c>
      <c r="F205" s="6">
        <v>41</v>
      </c>
      <c r="G205" s="6">
        <v>433</v>
      </c>
      <c r="H205" s="6">
        <v>131588</v>
      </c>
      <c r="I205" s="6">
        <v>18900</v>
      </c>
      <c r="J205" s="6">
        <v>15</v>
      </c>
    </row>
    <row r="206" spans="1:10">
      <c r="A206" s="1" t="s">
        <v>11</v>
      </c>
      <c r="B206" s="7">
        <v>46058</v>
      </c>
      <c r="C206" s="5">
        <f>COUNTIF(B$114:B206,B206)</f>
        <v>1</v>
      </c>
      <c r="D206" s="12">
        <v>2000000</v>
      </c>
      <c r="E206" s="8">
        <v>23500</v>
      </c>
      <c r="F206" s="8">
        <v>42</v>
      </c>
      <c r="G206" s="8">
        <v>245</v>
      </c>
      <c r="H206" s="8">
        <v>93043</v>
      </c>
      <c r="I206" s="8">
        <v>13100</v>
      </c>
      <c r="J206" s="8">
        <v>18</v>
      </c>
    </row>
    <row r="207" spans="1:10">
      <c r="A207" s="1" t="s">
        <v>11</v>
      </c>
      <c r="B207" s="4">
        <v>46058</v>
      </c>
      <c r="C207" s="5">
        <f>COUNTIF(B$114:B207,B207)</f>
        <v>2</v>
      </c>
      <c r="D207" s="11">
        <v>2100000</v>
      </c>
      <c r="E207" s="6">
        <v>33700</v>
      </c>
      <c r="F207" s="6">
        <v>40</v>
      </c>
      <c r="G207" s="6">
        <v>359</v>
      </c>
      <c r="H207" s="6">
        <v>115604</v>
      </c>
      <c r="I207" s="6">
        <v>17500</v>
      </c>
      <c r="J207" s="6">
        <v>18</v>
      </c>
    </row>
    <row r="208" spans="1:10">
      <c r="A208" s="1" t="s">
        <v>11</v>
      </c>
      <c r="B208" s="7">
        <v>46059</v>
      </c>
      <c r="C208" s="5">
        <f>COUNTIF(B$114:B208,B208)</f>
        <v>1</v>
      </c>
      <c r="D208" s="12">
        <v>2300000</v>
      </c>
      <c r="E208" s="8">
        <v>32900</v>
      </c>
      <c r="F208" s="8">
        <v>45</v>
      </c>
      <c r="G208" s="8">
        <v>245</v>
      </c>
      <c r="H208" s="8">
        <v>99459</v>
      </c>
      <c r="I208" s="8">
        <v>13800</v>
      </c>
      <c r="J208" s="8">
        <v>21</v>
      </c>
    </row>
    <row r="209" spans="1:10">
      <c r="A209" s="1" t="s">
        <v>11</v>
      </c>
      <c r="B209" s="4">
        <v>46059</v>
      </c>
      <c r="C209" s="5">
        <f>COUNTIF(B$114:B209,B209)</f>
        <v>2</v>
      </c>
      <c r="D209" s="11">
        <v>2100000</v>
      </c>
      <c r="E209" s="6">
        <v>31700</v>
      </c>
      <c r="F209" s="6">
        <v>40</v>
      </c>
      <c r="G209" s="6">
        <v>293</v>
      </c>
      <c r="H209" s="6">
        <v>114435</v>
      </c>
      <c r="I209" s="6">
        <v>16000</v>
      </c>
      <c r="J209" s="6">
        <v>16</v>
      </c>
    </row>
    <row r="210" spans="1:10">
      <c r="A210" s="1" t="s">
        <v>11</v>
      </c>
      <c r="B210" s="7">
        <v>46060</v>
      </c>
      <c r="C210" s="5">
        <f>COUNTIF(B$114:B210,B210)</f>
        <v>1</v>
      </c>
      <c r="D210" s="12">
        <v>2000000</v>
      </c>
      <c r="E210" s="8">
        <v>25000</v>
      </c>
      <c r="F210" s="8">
        <v>41</v>
      </c>
      <c r="G210" s="8">
        <v>293</v>
      </c>
      <c r="H210" s="8">
        <v>94936</v>
      </c>
      <c r="I210" s="8">
        <v>14200</v>
      </c>
      <c r="J210" s="8">
        <v>18</v>
      </c>
    </row>
    <row r="211" spans="1:10">
      <c r="A211" s="1" t="s">
        <v>11</v>
      </c>
      <c r="B211" s="4">
        <v>46060</v>
      </c>
      <c r="C211" s="5">
        <f>COUNTIF(B$114:B211,B211)</f>
        <v>2</v>
      </c>
      <c r="D211" s="11">
        <v>1800000</v>
      </c>
      <c r="E211" s="6">
        <v>24800</v>
      </c>
      <c r="F211" s="6">
        <v>38</v>
      </c>
      <c r="G211" s="6">
        <v>233</v>
      </c>
      <c r="H211" s="6">
        <v>110587</v>
      </c>
      <c r="I211" s="6">
        <v>14600</v>
      </c>
      <c r="J211" s="6">
        <v>15</v>
      </c>
    </row>
    <row r="212" spans="1:10">
      <c r="A212" s="1" t="s">
        <v>11</v>
      </c>
      <c r="B212" s="7">
        <v>46061</v>
      </c>
      <c r="C212" s="5">
        <f>COUNTIF(B$114:B212,B212)</f>
        <v>1</v>
      </c>
      <c r="D212" s="12">
        <v>2600000</v>
      </c>
      <c r="E212" s="8">
        <v>25600</v>
      </c>
      <c r="F212" s="8">
        <v>43</v>
      </c>
      <c r="G212" s="8">
        <v>302</v>
      </c>
      <c r="H212" s="8">
        <v>104238</v>
      </c>
      <c r="I212" s="8">
        <v>13200</v>
      </c>
      <c r="J212" s="8">
        <v>18</v>
      </c>
    </row>
    <row r="213" spans="1:10">
      <c r="A213" s="1" t="s">
        <v>11</v>
      </c>
      <c r="B213" s="4">
        <v>46061</v>
      </c>
      <c r="C213" s="5">
        <f>COUNTIF(B$114:B213,B213)</f>
        <v>2</v>
      </c>
      <c r="D213" s="11">
        <v>1800000</v>
      </c>
      <c r="E213" s="6">
        <v>18300</v>
      </c>
      <c r="F213" s="6">
        <v>35</v>
      </c>
      <c r="G213" s="6">
        <v>232</v>
      </c>
      <c r="H213" s="6">
        <v>104164</v>
      </c>
      <c r="I213" s="6">
        <v>14800</v>
      </c>
      <c r="J213" s="6">
        <v>15</v>
      </c>
    </row>
    <row r="214" spans="1:10">
      <c r="A214" s="1" t="s">
        <v>11</v>
      </c>
      <c r="B214" s="7">
        <v>46063</v>
      </c>
      <c r="C214" s="5">
        <f>COUNTIF(B$114:B214,B214)</f>
        <v>1</v>
      </c>
      <c r="D214" s="12">
        <v>2200000</v>
      </c>
      <c r="E214" s="8">
        <v>22000</v>
      </c>
      <c r="F214" s="8">
        <v>39</v>
      </c>
      <c r="G214" s="8">
        <v>310</v>
      </c>
      <c r="H214" s="8">
        <v>102274</v>
      </c>
      <c r="I214" s="8">
        <v>13300</v>
      </c>
      <c r="J214" s="8">
        <v>15</v>
      </c>
    </row>
    <row r="215" spans="1:10">
      <c r="A215" s="1" t="s">
        <v>11</v>
      </c>
      <c r="B215" s="4">
        <v>46063</v>
      </c>
      <c r="C215" s="5">
        <f>COUNTIF(B$114:B215,B215)</f>
        <v>2</v>
      </c>
      <c r="D215" s="11">
        <v>373900</v>
      </c>
      <c r="E215" s="6">
        <v>10100</v>
      </c>
      <c r="F215" s="6">
        <v>11</v>
      </c>
      <c r="G215" s="6">
        <v>124</v>
      </c>
      <c r="H215" s="6">
        <v>48116</v>
      </c>
      <c r="I215" s="6">
        <v>9636</v>
      </c>
      <c r="J215" s="6">
        <v>5</v>
      </c>
    </row>
    <row r="216" spans="1:10">
      <c r="A216" s="1" t="s">
        <v>11</v>
      </c>
      <c r="B216" s="7">
        <v>46064</v>
      </c>
      <c r="C216" s="5">
        <f>COUNTIF(B$114:B216,B216)</f>
        <v>1</v>
      </c>
      <c r="D216" s="12">
        <v>2100000</v>
      </c>
      <c r="E216" s="8">
        <v>29700</v>
      </c>
      <c r="F216" s="8">
        <v>40</v>
      </c>
      <c r="G216" s="8">
        <v>223</v>
      </c>
      <c r="H216" s="8">
        <v>98815</v>
      </c>
      <c r="I216" s="8">
        <v>13400</v>
      </c>
      <c r="J216" s="8">
        <v>16</v>
      </c>
    </row>
    <row r="217" spans="1:10">
      <c r="A217" s="1" t="s">
        <v>11</v>
      </c>
      <c r="B217" s="4">
        <v>46064</v>
      </c>
      <c r="C217" s="5">
        <f>COUNTIF(B$114:B217,B217)</f>
        <v>2</v>
      </c>
      <c r="D217" s="11">
        <v>2100000</v>
      </c>
      <c r="E217" s="6">
        <v>20400</v>
      </c>
      <c r="F217" s="6">
        <v>34</v>
      </c>
      <c r="G217" s="6">
        <v>207</v>
      </c>
      <c r="H217" s="6">
        <v>106980</v>
      </c>
      <c r="I217" s="6">
        <v>15100</v>
      </c>
      <c r="J217" s="6">
        <v>13</v>
      </c>
    </row>
    <row r="218" spans="1:10">
      <c r="A218" s="1" t="s">
        <v>11</v>
      </c>
      <c r="B218" s="7">
        <v>46065</v>
      </c>
      <c r="C218" s="5">
        <f>COUNTIF(B$114:B218,B218)</f>
        <v>1</v>
      </c>
      <c r="D218" s="12">
        <v>2300000</v>
      </c>
      <c r="E218" s="8">
        <v>31900</v>
      </c>
      <c r="F218" s="8">
        <v>41</v>
      </c>
      <c r="G218" s="8">
        <v>224</v>
      </c>
      <c r="H218" s="8">
        <v>94466</v>
      </c>
      <c r="I218" s="8">
        <v>15200</v>
      </c>
      <c r="J218" s="8">
        <v>19</v>
      </c>
    </row>
    <row r="219" spans="1:10">
      <c r="A219" s="1" t="s">
        <v>11</v>
      </c>
      <c r="B219" s="4">
        <v>46065</v>
      </c>
      <c r="C219" s="5">
        <f>COUNTIF(B$114:B219,B219)</f>
        <v>2</v>
      </c>
      <c r="D219" s="11">
        <v>2000000</v>
      </c>
      <c r="E219" s="6">
        <v>35800</v>
      </c>
      <c r="F219" s="6">
        <v>37</v>
      </c>
      <c r="G219" s="6">
        <v>212</v>
      </c>
      <c r="H219" s="6">
        <v>104520</v>
      </c>
      <c r="I219" s="6">
        <v>15100</v>
      </c>
      <c r="J219" s="6">
        <v>18</v>
      </c>
    </row>
    <row r="220" spans="1:10">
      <c r="A220" s="1" t="s">
        <v>11</v>
      </c>
      <c r="B220" s="7">
        <v>46066</v>
      </c>
      <c r="C220" s="5">
        <f>COUNTIF(B$114:B220,B220)</f>
        <v>1</v>
      </c>
      <c r="D220" s="12">
        <v>2700000</v>
      </c>
      <c r="E220" s="8">
        <v>33700</v>
      </c>
      <c r="F220" s="8">
        <v>48</v>
      </c>
      <c r="G220" s="8">
        <v>247</v>
      </c>
      <c r="H220" s="8">
        <v>116111</v>
      </c>
      <c r="I220" s="8">
        <v>15900</v>
      </c>
      <c r="J220" s="8">
        <v>18</v>
      </c>
    </row>
    <row r="221" spans="1:10">
      <c r="A221" s="1" t="s">
        <v>11</v>
      </c>
      <c r="B221" s="4">
        <v>46066</v>
      </c>
      <c r="C221" s="5">
        <f>COUNTIF(B$114:B221,B221)</f>
        <v>2</v>
      </c>
      <c r="D221" s="11">
        <v>2200000</v>
      </c>
      <c r="E221" s="6">
        <v>70100</v>
      </c>
      <c r="F221" s="6">
        <v>37</v>
      </c>
      <c r="G221" s="6">
        <v>161</v>
      </c>
      <c r="H221" s="6">
        <v>84197</v>
      </c>
      <c r="I221" s="6">
        <v>15900</v>
      </c>
      <c r="J221" s="6">
        <v>20</v>
      </c>
    </row>
    <row r="222" spans="1:10">
      <c r="A222" s="1" t="s">
        <v>11</v>
      </c>
      <c r="B222" s="7">
        <v>46068</v>
      </c>
      <c r="C222" s="5">
        <f>COUNTIF(B$114:B222,B222)</f>
        <v>1</v>
      </c>
      <c r="D222" s="12">
        <v>1800000</v>
      </c>
      <c r="E222" s="8">
        <v>17800</v>
      </c>
      <c r="F222" s="8">
        <v>30</v>
      </c>
      <c r="G222" s="8">
        <v>196</v>
      </c>
      <c r="H222" s="8">
        <v>89239</v>
      </c>
      <c r="I222" s="8">
        <v>10500</v>
      </c>
      <c r="J222" s="8">
        <v>14</v>
      </c>
    </row>
    <row r="223" spans="1:10">
      <c r="A223" s="1" t="s">
        <v>11</v>
      </c>
      <c r="B223" s="4">
        <v>46069</v>
      </c>
      <c r="C223" s="5">
        <f>COUNTIF(B$114:B223,B223)</f>
        <v>1</v>
      </c>
      <c r="D223" s="11">
        <v>2100000</v>
      </c>
      <c r="E223" s="6">
        <v>28400</v>
      </c>
      <c r="F223" s="6">
        <v>31</v>
      </c>
      <c r="G223" s="6">
        <v>236</v>
      </c>
      <c r="H223" s="6">
        <v>134912</v>
      </c>
      <c r="I223" s="6">
        <v>8626</v>
      </c>
      <c r="J223" s="6">
        <v>11</v>
      </c>
    </row>
    <row r="224" spans="1:10">
      <c r="A224" s="1" t="s">
        <v>11</v>
      </c>
      <c r="B224" s="7">
        <v>46072</v>
      </c>
      <c r="C224" s="5">
        <f>COUNTIF(B$114:B224,B224)</f>
        <v>1</v>
      </c>
      <c r="D224" s="12">
        <v>1200000</v>
      </c>
      <c r="E224" s="8">
        <v>10200</v>
      </c>
      <c r="F224" s="8">
        <v>23</v>
      </c>
      <c r="G224" s="8">
        <v>431</v>
      </c>
      <c r="H224" s="8">
        <v>75209</v>
      </c>
      <c r="I224" s="8">
        <v>7378</v>
      </c>
      <c r="J224" s="8">
        <v>9</v>
      </c>
    </row>
    <row r="225" spans="1:10">
      <c r="A225" s="1" t="s">
        <v>11</v>
      </c>
      <c r="B225" s="4">
        <v>46075</v>
      </c>
      <c r="C225" s="5">
        <f>COUNTIF(B$114:B225,B225)</f>
        <v>1</v>
      </c>
      <c r="D225" s="11">
        <v>1400000</v>
      </c>
      <c r="E225" s="6">
        <v>9530</v>
      </c>
      <c r="F225" s="6">
        <v>28</v>
      </c>
      <c r="G225" s="6">
        <v>381</v>
      </c>
      <c r="H225" s="6">
        <v>62847</v>
      </c>
      <c r="I225" s="6">
        <v>10000</v>
      </c>
      <c r="J225" s="6">
        <v>14</v>
      </c>
    </row>
    <row r="226" spans="1:10">
      <c r="A226" s="1" t="s">
        <v>11</v>
      </c>
      <c r="B226" s="7">
        <v>46075</v>
      </c>
      <c r="C226" s="5">
        <f>COUNTIF(B$114:B226,B226)</f>
        <v>2</v>
      </c>
      <c r="D226" s="12">
        <v>1700000</v>
      </c>
      <c r="E226" s="8">
        <v>16800</v>
      </c>
      <c r="F226" s="8">
        <v>32</v>
      </c>
      <c r="G226" s="8">
        <v>339</v>
      </c>
      <c r="H226" s="8">
        <v>73168</v>
      </c>
      <c r="I226" s="8">
        <v>10300</v>
      </c>
      <c r="J226" s="8">
        <v>17</v>
      </c>
    </row>
    <row r="227" spans="1:10">
      <c r="A227" s="1" t="s">
        <v>11</v>
      </c>
      <c r="B227" s="4">
        <v>46076</v>
      </c>
      <c r="C227" s="5">
        <f>COUNTIF(B$114:B227,B227)</f>
        <v>1</v>
      </c>
      <c r="D227" s="11">
        <v>2000000</v>
      </c>
      <c r="E227" s="6">
        <v>21900</v>
      </c>
      <c r="F227" s="6">
        <v>30</v>
      </c>
      <c r="G227" s="6">
        <v>300</v>
      </c>
      <c r="H227" s="6">
        <v>128663</v>
      </c>
      <c r="I227" s="6">
        <v>10900</v>
      </c>
      <c r="J227" s="6">
        <v>16</v>
      </c>
    </row>
    <row r="228" spans="1:10">
      <c r="A228" s="1" t="s">
        <v>11</v>
      </c>
      <c r="B228" s="7">
        <v>46077</v>
      </c>
      <c r="C228" s="5">
        <f>COUNTIF(B$114:B228,B228)</f>
        <v>1</v>
      </c>
      <c r="D228" s="12">
        <v>2100000</v>
      </c>
      <c r="E228" s="8">
        <v>15800</v>
      </c>
      <c r="F228" s="8">
        <v>34</v>
      </c>
      <c r="G228" s="8">
        <v>315</v>
      </c>
      <c r="H228" s="8">
        <v>93130</v>
      </c>
      <c r="I228" s="8">
        <v>9894</v>
      </c>
      <c r="J228" s="8">
        <v>18</v>
      </c>
    </row>
    <row r="229" spans="1:10">
      <c r="A229" s="1" t="s">
        <v>11</v>
      </c>
      <c r="B229" s="4">
        <v>46077</v>
      </c>
      <c r="C229" s="5">
        <f>COUNTIF(B$114:B229,B229)</f>
        <v>2</v>
      </c>
      <c r="D229" s="11">
        <v>1800000</v>
      </c>
      <c r="E229" s="6">
        <v>17800</v>
      </c>
      <c r="F229" s="6">
        <v>34</v>
      </c>
      <c r="G229" s="6">
        <v>280</v>
      </c>
      <c r="H229" s="6">
        <v>75481</v>
      </c>
      <c r="I229" s="6">
        <v>12900</v>
      </c>
      <c r="J229" s="6">
        <v>19</v>
      </c>
    </row>
    <row r="230" spans="1:10">
      <c r="A230" s="1" t="s">
        <v>11</v>
      </c>
      <c r="B230" s="7">
        <v>46078</v>
      </c>
      <c r="C230" s="5">
        <f>COUNTIF(B$114:B230,B230)</f>
        <v>1</v>
      </c>
      <c r="D230" s="12">
        <v>1800000</v>
      </c>
      <c r="E230" s="8">
        <v>18000</v>
      </c>
      <c r="F230" s="8">
        <v>36</v>
      </c>
      <c r="G230" s="8">
        <v>318</v>
      </c>
      <c r="H230" s="8">
        <v>68473</v>
      </c>
      <c r="I230" s="8">
        <v>11600</v>
      </c>
      <c r="J230" s="8">
        <v>19</v>
      </c>
    </row>
    <row r="231" spans="1:10">
      <c r="A231" s="1" t="s">
        <v>11</v>
      </c>
      <c r="B231" s="4">
        <v>46078</v>
      </c>
      <c r="C231" s="5">
        <f>COUNTIF(B$114:B231,B231)</f>
        <v>2</v>
      </c>
      <c r="D231" s="11">
        <v>1600000</v>
      </c>
      <c r="E231" s="6">
        <v>17000</v>
      </c>
      <c r="F231" s="6">
        <v>35</v>
      </c>
      <c r="G231" s="6">
        <v>333</v>
      </c>
      <c r="H231" s="6">
        <v>81743</v>
      </c>
      <c r="I231" s="6">
        <v>12100</v>
      </c>
      <c r="J231" s="6">
        <v>19</v>
      </c>
    </row>
    <row r="232" spans="1:10">
      <c r="A232" s="1" t="s">
        <v>11</v>
      </c>
      <c r="B232" s="7">
        <v>46079</v>
      </c>
      <c r="C232" s="5">
        <f>COUNTIF(B$114:B232,B232)</f>
        <v>1</v>
      </c>
      <c r="D232" s="12">
        <v>1800000</v>
      </c>
      <c r="E232" s="8">
        <v>20300</v>
      </c>
      <c r="F232" s="8">
        <v>39</v>
      </c>
      <c r="G232" s="8">
        <v>302</v>
      </c>
      <c r="H232" s="8">
        <v>74273</v>
      </c>
      <c r="I232" s="8">
        <v>10100</v>
      </c>
      <c r="J232" s="8">
        <v>23</v>
      </c>
    </row>
    <row r="233" spans="1:10">
      <c r="A233" s="1" t="s">
        <v>11</v>
      </c>
      <c r="B233" s="4">
        <v>46079</v>
      </c>
      <c r="C233" s="5">
        <f>COUNTIF(B$114:B233,B233)</f>
        <v>2</v>
      </c>
      <c r="D233" s="11">
        <v>2500000</v>
      </c>
      <c r="E233" s="6">
        <v>17500</v>
      </c>
      <c r="F233" s="6">
        <v>38</v>
      </c>
      <c r="G233" s="6">
        <v>317</v>
      </c>
      <c r="H233" s="6">
        <v>89148</v>
      </c>
      <c r="I233" s="6">
        <v>13800</v>
      </c>
      <c r="J233" s="6">
        <v>19</v>
      </c>
    </row>
    <row r="234" spans="1:10">
      <c r="A234" s="1" t="s">
        <v>11</v>
      </c>
      <c r="B234" s="7">
        <v>46080</v>
      </c>
      <c r="C234" s="5">
        <f>COUNTIF(B$114:B234,B234)</f>
        <v>1</v>
      </c>
      <c r="D234" s="12">
        <v>1600000</v>
      </c>
      <c r="E234" s="8">
        <v>15800</v>
      </c>
      <c r="F234" s="8">
        <v>37</v>
      </c>
      <c r="G234" s="8">
        <v>214</v>
      </c>
      <c r="H234" s="8">
        <v>76753</v>
      </c>
      <c r="I234" s="8">
        <v>10400</v>
      </c>
      <c r="J234" s="8">
        <v>24</v>
      </c>
    </row>
    <row r="235" spans="1:10">
      <c r="A235" s="1" t="s">
        <v>11</v>
      </c>
      <c r="B235" s="4">
        <v>46080</v>
      </c>
      <c r="C235" s="5">
        <f>COUNTIF(B$114:B235,B235)</f>
        <v>2</v>
      </c>
      <c r="D235" s="11">
        <v>1700000</v>
      </c>
      <c r="E235" s="6">
        <v>16900</v>
      </c>
      <c r="F235" s="6">
        <v>35</v>
      </c>
      <c r="G235" s="6">
        <v>264</v>
      </c>
      <c r="H235" s="6">
        <v>113601</v>
      </c>
      <c r="I235" s="6">
        <v>11900</v>
      </c>
      <c r="J235" s="6">
        <v>19</v>
      </c>
    </row>
    <row r="236" spans="1:10">
      <c r="A236" s="1" t="s">
        <v>11</v>
      </c>
      <c r="B236" s="7">
        <v>46081</v>
      </c>
      <c r="C236" s="5">
        <f>COUNTIF(B$114:B236,B236)</f>
        <v>1</v>
      </c>
      <c r="D236" s="12">
        <v>2100000</v>
      </c>
      <c r="E236" s="8">
        <v>14400</v>
      </c>
      <c r="F236" s="8">
        <v>34</v>
      </c>
      <c r="G236" s="8">
        <v>372</v>
      </c>
      <c r="H236" s="8">
        <v>69318</v>
      </c>
      <c r="I236" s="8">
        <v>10900</v>
      </c>
      <c r="J236" s="8">
        <v>20</v>
      </c>
    </row>
    <row r="237" spans="1:10">
      <c r="A237" s="1" t="s">
        <v>11</v>
      </c>
      <c r="B237" s="4">
        <v>46081</v>
      </c>
      <c r="C237" s="5">
        <f>COUNTIF(B$114:B237,B237)</f>
        <v>2</v>
      </c>
      <c r="D237" s="11">
        <v>1900000</v>
      </c>
      <c r="E237" s="6">
        <v>16500</v>
      </c>
      <c r="F237" s="6">
        <v>35</v>
      </c>
      <c r="G237" s="6">
        <v>353</v>
      </c>
      <c r="H237" s="6">
        <v>78327</v>
      </c>
      <c r="I237" s="6">
        <v>12400</v>
      </c>
      <c r="J237" s="6">
        <v>22</v>
      </c>
    </row>
    <row r="238" spans="1:10">
      <c r="A238" s="1" t="s">
        <v>11</v>
      </c>
      <c r="B238" s="7">
        <v>46082</v>
      </c>
      <c r="C238" s="5">
        <f>COUNTIF(B$114:B238,B238)</f>
        <v>1</v>
      </c>
      <c r="D238" s="12">
        <v>2200000</v>
      </c>
      <c r="E238" s="8">
        <v>15800</v>
      </c>
      <c r="F238" s="8">
        <v>37</v>
      </c>
      <c r="G238" s="8">
        <v>171</v>
      </c>
      <c r="H238" s="8">
        <v>55526</v>
      </c>
      <c r="I238" s="8">
        <v>11500</v>
      </c>
      <c r="J238" s="8">
        <v>34</v>
      </c>
    </row>
    <row r="239" spans="1:10">
      <c r="A239" s="1" t="s">
        <v>11</v>
      </c>
      <c r="B239" s="4">
        <v>46082</v>
      </c>
      <c r="C239" s="5">
        <f>COUNTIF(B$114:B239,B239)</f>
        <v>2</v>
      </c>
      <c r="D239" s="11">
        <v>552100</v>
      </c>
      <c r="E239" s="6">
        <v>5327</v>
      </c>
      <c r="F239" s="6">
        <v>15</v>
      </c>
      <c r="G239" s="6">
        <v>141</v>
      </c>
      <c r="H239" s="6">
        <v>34712</v>
      </c>
      <c r="I239" s="6">
        <v>9330</v>
      </c>
      <c r="J239" s="6">
        <v>11</v>
      </c>
    </row>
    <row r="240" spans="1:10">
      <c r="A240" s="1" t="s">
        <v>11</v>
      </c>
      <c r="B240" s="7">
        <v>46084</v>
      </c>
      <c r="C240" s="5">
        <f>COUNTIF(B$114:B240,B240)</f>
        <v>1</v>
      </c>
      <c r="D240" s="12">
        <v>1600000</v>
      </c>
      <c r="E240" s="8">
        <v>15900</v>
      </c>
      <c r="F240" s="8">
        <v>38</v>
      </c>
      <c r="G240" s="8">
        <v>260</v>
      </c>
      <c r="H240" s="8">
        <v>72835</v>
      </c>
      <c r="I240" s="8">
        <v>10300</v>
      </c>
      <c r="J240" s="8">
        <v>21</v>
      </c>
    </row>
    <row r="241" spans="1:10">
      <c r="A241" s="1" t="s">
        <v>11</v>
      </c>
      <c r="B241" s="4">
        <v>46084</v>
      </c>
      <c r="C241" s="5">
        <f>COUNTIF(B$114:B241,B241)</f>
        <v>2</v>
      </c>
      <c r="D241" s="11">
        <v>1900000</v>
      </c>
      <c r="E241" s="6">
        <v>13000</v>
      </c>
      <c r="F241" s="6">
        <v>34</v>
      </c>
      <c r="G241" s="6">
        <v>315</v>
      </c>
      <c r="H241" s="6">
        <v>82529</v>
      </c>
      <c r="I241" s="6">
        <v>12300</v>
      </c>
      <c r="J241" s="6">
        <v>20</v>
      </c>
    </row>
    <row r="242" spans="1:10">
      <c r="A242" s="1" t="s">
        <v>11</v>
      </c>
      <c r="B242" s="7">
        <v>46085</v>
      </c>
      <c r="C242" s="5">
        <f>COUNTIF(B$114:B242,B242)</f>
        <v>1</v>
      </c>
      <c r="D242" s="12">
        <v>2200000</v>
      </c>
      <c r="E242" s="8">
        <v>11300</v>
      </c>
      <c r="F242" s="8">
        <v>35</v>
      </c>
      <c r="G242" s="8">
        <v>152</v>
      </c>
      <c r="H242" s="8">
        <v>65865</v>
      </c>
      <c r="I242" s="8">
        <v>9518</v>
      </c>
      <c r="J242" s="8">
        <v>21</v>
      </c>
    </row>
    <row r="243" spans="1:10">
      <c r="A243" s="1" t="s">
        <v>11</v>
      </c>
      <c r="B243" s="4">
        <v>46085</v>
      </c>
      <c r="C243" s="5">
        <f>COUNTIF(B$114:B243,B243)</f>
        <v>2</v>
      </c>
      <c r="D243" s="11">
        <v>1500000</v>
      </c>
      <c r="E243" s="6">
        <v>12600</v>
      </c>
      <c r="F243" s="6">
        <v>31</v>
      </c>
      <c r="G243" s="6">
        <v>81</v>
      </c>
      <c r="H243" s="6">
        <v>55659</v>
      </c>
      <c r="I243" s="6">
        <v>10100</v>
      </c>
      <c r="J243" s="6">
        <v>28</v>
      </c>
    </row>
    <row r="244" spans="1:10">
      <c r="A244" s="1" t="s">
        <v>11</v>
      </c>
      <c r="B244" s="7">
        <v>46086</v>
      </c>
      <c r="C244" s="5">
        <f>COUNTIF(B$114:B244,B244)</f>
        <v>1</v>
      </c>
      <c r="D244" s="12">
        <v>2000000</v>
      </c>
      <c r="E244" s="8">
        <v>14100</v>
      </c>
      <c r="F244" s="8">
        <v>39</v>
      </c>
      <c r="G244" s="8">
        <v>264</v>
      </c>
      <c r="H244" s="8">
        <v>67578</v>
      </c>
      <c r="I244" s="8">
        <v>10100</v>
      </c>
      <c r="J244" s="8">
        <v>20</v>
      </c>
    </row>
    <row r="245" spans="1:10">
      <c r="A245" s="1" t="s">
        <v>11</v>
      </c>
      <c r="B245" s="4">
        <v>46086</v>
      </c>
      <c r="C245" s="5">
        <f>COUNTIF(B$114:B245,B245)</f>
        <v>2</v>
      </c>
      <c r="D245" s="11">
        <v>1900000</v>
      </c>
      <c r="E245" s="6">
        <v>13400</v>
      </c>
      <c r="F245" s="6">
        <v>37</v>
      </c>
      <c r="G245" s="6">
        <v>161</v>
      </c>
      <c r="H245" s="6">
        <v>71235</v>
      </c>
      <c r="I245" s="6">
        <v>12600</v>
      </c>
      <c r="J245" s="6">
        <v>24</v>
      </c>
    </row>
    <row r="246" spans="1:10">
      <c r="A246" s="1" t="s">
        <v>11</v>
      </c>
      <c r="B246" s="7">
        <v>46087</v>
      </c>
      <c r="C246" s="5">
        <f>COUNTIF(B$114:B246,B246)</f>
        <v>1</v>
      </c>
      <c r="D246" s="12">
        <v>1600000</v>
      </c>
      <c r="E246" s="8">
        <v>8886</v>
      </c>
      <c r="F246" s="8">
        <v>32</v>
      </c>
      <c r="G246" s="8">
        <v>151</v>
      </c>
      <c r="H246" s="8">
        <v>53222</v>
      </c>
      <c r="I246" s="8">
        <v>9106</v>
      </c>
      <c r="J246" s="8">
        <v>21</v>
      </c>
    </row>
    <row r="247" spans="1:10">
      <c r="A247" s="1" t="s">
        <v>11</v>
      </c>
      <c r="B247" s="4">
        <v>46087</v>
      </c>
      <c r="C247" s="5">
        <f>COUNTIF(B$114:B247,B247)</f>
        <v>2</v>
      </c>
      <c r="D247" s="11">
        <v>3200000</v>
      </c>
      <c r="E247" s="6">
        <v>28100</v>
      </c>
      <c r="F247" s="6">
        <v>40</v>
      </c>
      <c r="G247" s="6">
        <v>205</v>
      </c>
      <c r="H247" s="6">
        <v>80742</v>
      </c>
      <c r="I247" s="6">
        <v>12800</v>
      </c>
      <c r="J247" s="6">
        <v>23</v>
      </c>
    </row>
    <row r="248" spans="1:10">
      <c r="A248" s="1" t="s">
        <v>11</v>
      </c>
      <c r="B248" s="7">
        <v>46089</v>
      </c>
      <c r="C248" s="5">
        <f>COUNTIF(B$114:B248,B248)</f>
        <v>1</v>
      </c>
      <c r="D248" s="12">
        <v>2700000</v>
      </c>
      <c r="E248" s="8">
        <v>21700</v>
      </c>
      <c r="F248" s="8">
        <v>41</v>
      </c>
      <c r="G248" s="8">
        <v>302</v>
      </c>
      <c r="H248" s="8">
        <v>78602</v>
      </c>
      <c r="I248" s="8">
        <v>12000</v>
      </c>
      <c r="J248" s="8">
        <v>23</v>
      </c>
    </row>
    <row r="249" spans="1:10">
      <c r="A249" s="1" t="s">
        <v>11</v>
      </c>
      <c r="B249" s="4">
        <v>46089</v>
      </c>
      <c r="C249" s="5">
        <f>COUNTIF(B$114:B249,B249)</f>
        <v>2</v>
      </c>
      <c r="D249" s="11">
        <v>2000000</v>
      </c>
      <c r="E249" s="6">
        <v>14000</v>
      </c>
      <c r="F249" s="6">
        <v>33</v>
      </c>
      <c r="G249" s="6">
        <v>216</v>
      </c>
      <c r="H249" s="6">
        <v>68916</v>
      </c>
      <c r="I249" s="6">
        <v>11500</v>
      </c>
      <c r="J249" s="6">
        <v>20</v>
      </c>
    </row>
    <row r="250" spans="1:10">
      <c r="A250" s="1" t="s">
        <v>11</v>
      </c>
      <c r="B250" s="7">
        <v>46091</v>
      </c>
      <c r="C250" s="5">
        <f>COUNTIF(B$114:B250,B250)</f>
        <v>1</v>
      </c>
      <c r="D250" s="12">
        <v>2400000</v>
      </c>
      <c r="E250" s="8">
        <v>9459</v>
      </c>
      <c r="F250" s="8">
        <v>34</v>
      </c>
      <c r="G250" s="8">
        <v>187</v>
      </c>
      <c r="H250" s="8">
        <v>68472</v>
      </c>
      <c r="I250" s="8">
        <v>8853</v>
      </c>
      <c r="J250" s="8">
        <v>17</v>
      </c>
    </row>
    <row r="251" spans="1:10">
      <c r="A251" s="1" t="s">
        <v>11</v>
      </c>
      <c r="B251" s="4">
        <v>46091</v>
      </c>
      <c r="C251" s="5">
        <f>COUNTIF(B$114:B251,B251)</f>
        <v>2</v>
      </c>
      <c r="D251" s="11">
        <v>2000000</v>
      </c>
      <c r="E251" s="6">
        <v>14400</v>
      </c>
      <c r="F251" s="6">
        <v>33</v>
      </c>
      <c r="G251" s="6">
        <v>259</v>
      </c>
      <c r="H251" s="6">
        <v>83107</v>
      </c>
      <c r="I251" s="6">
        <v>11300</v>
      </c>
      <c r="J251" s="6">
        <v>16</v>
      </c>
    </row>
    <row r="252" spans="1:10">
      <c r="A252" s="1" t="s">
        <v>11</v>
      </c>
      <c r="B252" s="7">
        <v>46092</v>
      </c>
      <c r="C252" s="5">
        <f>COUNTIF(B$114:B252,B252)</f>
        <v>1</v>
      </c>
      <c r="D252" s="12">
        <v>1700000</v>
      </c>
      <c r="E252" s="8">
        <v>10400</v>
      </c>
      <c r="F252" s="8">
        <v>34</v>
      </c>
      <c r="G252" s="8">
        <v>181</v>
      </c>
      <c r="H252" s="8">
        <v>56916</v>
      </c>
      <c r="I252" s="8">
        <v>8820</v>
      </c>
      <c r="J252" s="8">
        <v>20</v>
      </c>
    </row>
    <row r="253" spans="1:10">
      <c r="A253" s="1" t="s">
        <v>11</v>
      </c>
      <c r="B253" s="4">
        <v>46092</v>
      </c>
      <c r="C253" s="5">
        <f>COUNTIF(B$114:B253,B253)</f>
        <v>2</v>
      </c>
      <c r="D253" s="11">
        <v>1800000</v>
      </c>
      <c r="E253" s="6">
        <v>17900</v>
      </c>
      <c r="F253" s="6">
        <v>32</v>
      </c>
      <c r="G253" s="6">
        <v>186</v>
      </c>
      <c r="H253" s="6">
        <v>74860</v>
      </c>
      <c r="I253" s="6">
        <v>11100</v>
      </c>
      <c r="J253" s="6">
        <v>15</v>
      </c>
    </row>
    <row r="254" spans="1:10">
      <c r="A254" s="1" t="s">
        <v>11</v>
      </c>
      <c r="B254" s="7">
        <v>46093</v>
      </c>
      <c r="C254" s="5">
        <f>COUNTIF(B$114:B254,B254)</f>
        <v>1</v>
      </c>
      <c r="D254" s="12">
        <v>2100000</v>
      </c>
      <c r="E254" s="8">
        <v>11200</v>
      </c>
      <c r="F254" s="8">
        <v>29</v>
      </c>
      <c r="G254" s="8">
        <v>160</v>
      </c>
      <c r="H254" s="8">
        <v>55055</v>
      </c>
      <c r="I254" s="8">
        <v>9345</v>
      </c>
      <c r="J254" s="8">
        <v>15</v>
      </c>
    </row>
    <row r="255" spans="1:10">
      <c r="A255" s="1" t="s">
        <v>11</v>
      </c>
      <c r="B255" s="4">
        <v>46093</v>
      </c>
      <c r="C255" s="5">
        <f>COUNTIF(B$114:B255,B255)</f>
        <v>2</v>
      </c>
      <c r="D255" s="11">
        <v>2700000</v>
      </c>
      <c r="E255" s="6">
        <v>20100</v>
      </c>
      <c r="F255" s="6">
        <v>37</v>
      </c>
      <c r="G255" s="6">
        <v>277</v>
      </c>
      <c r="H255" s="6">
        <v>85694</v>
      </c>
      <c r="I255" s="6">
        <v>11900</v>
      </c>
      <c r="J255" s="6">
        <v>21</v>
      </c>
    </row>
    <row r="256" spans="1:10">
      <c r="A256" s="1" t="s">
        <v>11</v>
      </c>
      <c r="B256" s="7">
        <v>46094</v>
      </c>
      <c r="C256" s="5">
        <f>COUNTIF(B$114:B256,B256)</f>
        <v>1</v>
      </c>
      <c r="D256" s="12">
        <v>1800000</v>
      </c>
      <c r="E256" s="8">
        <v>11200</v>
      </c>
      <c r="F256" s="8">
        <v>32</v>
      </c>
      <c r="G256" s="8">
        <v>185</v>
      </c>
      <c r="H256" s="8">
        <v>62317</v>
      </c>
      <c r="I256" s="8">
        <v>8453</v>
      </c>
      <c r="J256" s="8">
        <v>19</v>
      </c>
    </row>
    <row r="257" spans="1:10">
      <c r="A257" s="1" t="s">
        <v>11</v>
      </c>
      <c r="B257" s="4">
        <v>46094</v>
      </c>
      <c r="C257" s="5">
        <f>COUNTIF(B$114:B257,B257)</f>
        <v>2</v>
      </c>
      <c r="D257" s="11">
        <v>1700000</v>
      </c>
      <c r="E257" s="6">
        <v>15800</v>
      </c>
      <c r="F257" s="6">
        <v>32</v>
      </c>
      <c r="G257" s="6">
        <v>133</v>
      </c>
      <c r="H257" s="6">
        <v>69067</v>
      </c>
      <c r="I257" s="6">
        <v>11000</v>
      </c>
      <c r="J257" s="6">
        <v>20</v>
      </c>
    </row>
    <row r="258" spans="1:10">
      <c r="A258" s="1" t="s">
        <v>11</v>
      </c>
      <c r="B258" s="7">
        <v>46095</v>
      </c>
      <c r="C258" s="5">
        <f>COUNTIF(B$114:B258,B258)</f>
        <v>1</v>
      </c>
      <c r="D258" s="12">
        <v>2300000</v>
      </c>
      <c r="E258" s="8">
        <v>15100</v>
      </c>
      <c r="F258" s="8">
        <v>35</v>
      </c>
      <c r="G258" s="8">
        <v>246</v>
      </c>
      <c r="H258" s="8">
        <v>78540</v>
      </c>
      <c r="I258" s="8">
        <v>9150</v>
      </c>
      <c r="J258" s="8">
        <v>17</v>
      </c>
    </row>
    <row r="259" spans="1:10">
      <c r="A259" s="1" t="s">
        <v>11</v>
      </c>
      <c r="B259" s="4">
        <v>46095</v>
      </c>
      <c r="C259" s="5">
        <f>COUNTIF(B$114:B259,B259)</f>
        <v>2</v>
      </c>
      <c r="D259" s="11">
        <v>2700000</v>
      </c>
      <c r="E259" s="6">
        <v>13100</v>
      </c>
      <c r="F259" s="6">
        <v>32</v>
      </c>
      <c r="G259" s="6">
        <v>138</v>
      </c>
      <c r="H259" s="6">
        <v>69317</v>
      </c>
      <c r="I259" s="6">
        <v>11000</v>
      </c>
      <c r="J259" s="6">
        <v>22</v>
      </c>
    </row>
    <row r="260" spans="1:10">
      <c r="A260" s="1" t="s">
        <v>11</v>
      </c>
      <c r="B260" s="7">
        <v>46096</v>
      </c>
      <c r="C260" s="5">
        <f>COUNTIF(B$114:B260,B260)</f>
        <v>1</v>
      </c>
      <c r="D260" s="12">
        <v>2500000</v>
      </c>
      <c r="E260" s="8">
        <v>14600</v>
      </c>
      <c r="F260" s="8">
        <v>33</v>
      </c>
      <c r="G260" s="8">
        <v>200</v>
      </c>
      <c r="H260" s="8">
        <v>84022</v>
      </c>
      <c r="I260" s="8">
        <v>9569</v>
      </c>
      <c r="J260" s="8">
        <v>15</v>
      </c>
    </row>
    <row r="261" spans="1:10">
      <c r="A261" s="1" t="s">
        <v>11</v>
      </c>
      <c r="B261" s="4">
        <v>46096</v>
      </c>
      <c r="C261" s="5">
        <f>COUNTIF(B$114:B261,B261)</f>
        <v>2</v>
      </c>
      <c r="D261" s="11">
        <v>7100000</v>
      </c>
      <c r="E261" s="6">
        <v>29400</v>
      </c>
      <c r="F261" s="6">
        <v>35</v>
      </c>
      <c r="G261" s="6">
        <v>173</v>
      </c>
      <c r="H261" s="6">
        <v>73883</v>
      </c>
      <c r="I261" s="6">
        <v>11400</v>
      </c>
      <c r="J261" s="6">
        <v>23</v>
      </c>
    </row>
    <row r="262" spans="1:10">
      <c r="A262" s="1" t="s">
        <v>11</v>
      </c>
      <c r="B262" s="7">
        <v>46098</v>
      </c>
      <c r="C262" s="5">
        <f>COUNTIF(B$114:B262,B262)</f>
        <v>1</v>
      </c>
      <c r="D262" s="12">
        <v>2400000</v>
      </c>
      <c r="E262" s="8">
        <v>21500</v>
      </c>
      <c r="F262" s="8">
        <v>39</v>
      </c>
      <c r="G262" s="8">
        <v>136</v>
      </c>
      <c r="H262" s="8">
        <v>69127</v>
      </c>
      <c r="I262" s="8">
        <v>9839</v>
      </c>
      <c r="J262" s="8">
        <v>20</v>
      </c>
    </row>
    <row r="263" spans="1:10">
      <c r="A263" s="1" t="s">
        <v>11</v>
      </c>
      <c r="B263" s="4">
        <v>46098</v>
      </c>
      <c r="C263" s="5">
        <f>COUNTIF(B$114:B263,B263)</f>
        <v>2</v>
      </c>
      <c r="D263" s="11">
        <v>2200000</v>
      </c>
      <c r="E263" s="6">
        <v>21800</v>
      </c>
      <c r="F263" s="6">
        <v>35</v>
      </c>
      <c r="G263" s="6">
        <v>169</v>
      </c>
      <c r="H263" s="6">
        <v>80143</v>
      </c>
      <c r="I263" s="6">
        <v>12900</v>
      </c>
      <c r="J263" s="6">
        <v>18</v>
      </c>
    </row>
    <row r="264" spans="1:10">
      <c r="A264" s="1" t="s">
        <v>11</v>
      </c>
      <c r="B264" s="7">
        <v>46099</v>
      </c>
      <c r="C264" s="5">
        <f>COUNTIF(B$114:B264,B264)</f>
        <v>1</v>
      </c>
      <c r="D264" s="12">
        <v>2500000</v>
      </c>
      <c r="E264" s="8">
        <v>16800</v>
      </c>
      <c r="F264" s="8">
        <v>37</v>
      </c>
      <c r="G264" s="8">
        <v>120</v>
      </c>
      <c r="H264" s="8">
        <v>55262</v>
      </c>
      <c r="I264" s="8">
        <v>9433</v>
      </c>
      <c r="J264" s="8">
        <v>27</v>
      </c>
    </row>
    <row r="265" spans="1:10">
      <c r="A265" s="1" t="s">
        <v>11</v>
      </c>
      <c r="B265" s="4">
        <v>46099</v>
      </c>
      <c r="C265" s="5">
        <f>COUNTIF(B$114:B265,B265)</f>
        <v>2</v>
      </c>
      <c r="D265" s="11">
        <v>1700000</v>
      </c>
      <c r="E265" s="6">
        <v>17900</v>
      </c>
      <c r="F265" s="6">
        <v>39</v>
      </c>
      <c r="G265" s="6">
        <v>118</v>
      </c>
      <c r="H265" s="6">
        <v>68308</v>
      </c>
      <c r="I265" s="6">
        <v>12600</v>
      </c>
      <c r="J265" s="6">
        <v>26</v>
      </c>
    </row>
    <row r="266" spans="1:10">
      <c r="A266" s="1" t="s">
        <v>11</v>
      </c>
      <c r="B266" s="7">
        <v>46100</v>
      </c>
      <c r="C266" s="5">
        <f>COUNTIF(B$114:B266,B266)</f>
        <v>1</v>
      </c>
      <c r="D266" s="12">
        <v>2000000</v>
      </c>
      <c r="E266" s="8">
        <v>32100</v>
      </c>
      <c r="F266" s="8">
        <v>40</v>
      </c>
      <c r="G266" s="8">
        <v>152</v>
      </c>
      <c r="H266" s="8">
        <v>58437</v>
      </c>
      <c r="I266" s="8">
        <v>11100</v>
      </c>
      <c r="J266" s="8">
        <v>26</v>
      </c>
    </row>
    <row r="267" spans="1:10">
      <c r="A267" s="1" t="s">
        <v>11</v>
      </c>
      <c r="B267" s="4">
        <v>46100</v>
      </c>
      <c r="C267" s="5">
        <f>COUNTIF(B$114:B267,B267)</f>
        <v>2</v>
      </c>
      <c r="D267" s="11">
        <v>3100000</v>
      </c>
      <c r="E267" s="6">
        <v>32800</v>
      </c>
      <c r="F267" s="6">
        <v>42</v>
      </c>
      <c r="G267" s="6">
        <v>209</v>
      </c>
      <c r="H267" s="6">
        <v>79277</v>
      </c>
      <c r="I267" s="6">
        <v>14500</v>
      </c>
      <c r="J267" s="6">
        <v>27</v>
      </c>
    </row>
    <row r="268" spans="1:10">
      <c r="A268" s="1" t="s">
        <v>11</v>
      </c>
      <c r="B268" s="7">
        <v>46101</v>
      </c>
      <c r="C268" s="5">
        <f>COUNTIF(B$114:B268,B268)</f>
        <v>1</v>
      </c>
      <c r="D268" s="12">
        <v>1900000</v>
      </c>
      <c r="E268" s="8">
        <v>21200</v>
      </c>
      <c r="F268" s="8">
        <v>40</v>
      </c>
      <c r="G268" s="8">
        <v>89</v>
      </c>
      <c r="H268" s="8">
        <v>49748</v>
      </c>
      <c r="I268" s="8">
        <v>10900</v>
      </c>
      <c r="J268" s="8">
        <v>32</v>
      </c>
    </row>
    <row r="269" spans="1:10">
      <c r="A269" s="1" t="s">
        <v>11</v>
      </c>
      <c r="B269" s="4">
        <v>46101</v>
      </c>
      <c r="C269" s="5">
        <f>COUNTIF(B$114:B269,B269)</f>
        <v>2</v>
      </c>
      <c r="D269" s="11">
        <v>1700000</v>
      </c>
      <c r="E269" s="6">
        <v>14700</v>
      </c>
      <c r="F269" s="6">
        <v>37</v>
      </c>
      <c r="G269" s="6">
        <v>76</v>
      </c>
      <c r="H269" s="6">
        <v>59417</v>
      </c>
      <c r="I269" s="6">
        <v>10800</v>
      </c>
      <c r="J269" s="6">
        <v>32</v>
      </c>
    </row>
    <row r="270" spans="1:10">
      <c r="A270" s="1" t="s">
        <v>11</v>
      </c>
      <c r="B270" s="7">
        <v>46102</v>
      </c>
      <c r="C270" s="5">
        <f>COUNTIF(B$114:B270,B270)</f>
        <v>1</v>
      </c>
      <c r="D270" s="12">
        <v>1600000</v>
      </c>
      <c r="E270" s="8">
        <v>13200</v>
      </c>
      <c r="F270" s="8">
        <v>36</v>
      </c>
      <c r="G270" s="8">
        <v>91</v>
      </c>
      <c r="H270" s="8">
        <v>51227</v>
      </c>
      <c r="I270" s="8">
        <v>9675</v>
      </c>
      <c r="J270" s="8">
        <v>30</v>
      </c>
    </row>
    <row r="271" spans="1:10">
      <c r="A271" s="1" t="s">
        <v>11</v>
      </c>
      <c r="B271" s="4">
        <v>46102</v>
      </c>
      <c r="C271" s="5">
        <f>COUNTIF(B$114:B271,B271)</f>
        <v>2</v>
      </c>
      <c r="D271" s="11">
        <v>2100000</v>
      </c>
      <c r="E271" s="6">
        <v>23600</v>
      </c>
      <c r="F271" s="6">
        <v>39</v>
      </c>
      <c r="G271" s="6">
        <v>80</v>
      </c>
      <c r="H271" s="6">
        <v>61966</v>
      </c>
      <c r="I271" s="6">
        <v>12900</v>
      </c>
      <c r="J271" s="6">
        <v>32</v>
      </c>
    </row>
    <row r="272" spans="1:10">
      <c r="A272" s="1" t="s">
        <v>11</v>
      </c>
      <c r="B272" s="7">
        <v>46103</v>
      </c>
      <c r="C272" s="5">
        <f>COUNTIF(B$114:B272,B272)</f>
        <v>1</v>
      </c>
      <c r="D272" s="12">
        <v>2000000</v>
      </c>
      <c r="E272" s="8">
        <v>22400</v>
      </c>
      <c r="F272" s="8">
        <v>41</v>
      </c>
      <c r="G272" s="8">
        <v>119</v>
      </c>
      <c r="H272" s="8">
        <v>62998</v>
      </c>
      <c r="I272" s="8">
        <v>11300</v>
      </c>
      <c r="J272" s="8">
        <v>33</v>
      </c>
    </row>
    <row r="273" spans="1:10">
      <c r="A273" s="1" t="s">
        <v>11</v>
      </c>
      <c r="B273" s="4">
        <v>46103</v>
      </c>
      <c r="C273" s="5">
        <f>COUNTIF(B$114:B273,B273)</f>
        <v>2</v>
      </c>
      <c r="D273" s="11">
        <v>1500000</v>
      </c>
      <c r="E273" s="6">
        <v>14400</v>
      </c>
      <c r="F273" s="6">
        <v>36</v>
      </c>
      <c r="G273" s="6">
        <v>82</v>
      </c>
      <c r="H273" s="6">
        <v>56460</v>
      </c>
      <c r="I273" s="6">
        <v>11200</v>
      </c>
      <c r="J273" s="6">
        <v>32</v>
      </c>
    </row>
    <row r="274" spans="1:10">
      <c r="A274" s="1" t="s">
        <v>11</v>
      </c>
      <c r="B274" s="7">
        <v>46105</v>
      </c>
      <c r="C274" s="5">
        <f>COUNTIF(B$114:B274,B274)</f>
        <v>1</v>
      </c>
      <c r="D274" s="12">
        <v>2100000</v>
      </c>
      <c r="E274" s="8">
        <v>13900</v>
      </c>
      <c r="F274" s="8">
        <v>35</v>
      </c>
      <c r="G274" s="8">
        <v>80</v>
      </c>
      <c r="H274" s="8">
        <v>52298</v>
      </c>
      <c r="I274" s="8">
        <v>9242</v>
      </c>
      <c r="J274" s="8">
        <v>28</v>
      </c>
    </row>
    <row r="275" spans="1:10">
      <c r="A275" s="1" t="s">
        <v>11</v>
      </c>
      <c r="B275" s="4">
        <v>46105</v>
      </c>
      <c r="C275" s="5">
        <f>COUNTIF(B$114:B275,B275)</f>
        <v>2</v>
      </c>
      <c r="D275" s="11">
        <v>2500000</v>
      </c>
      <c r="E275" s="6">
        <v>27000</v>
      </c>
      <c r="F275" s="6">
        <v>42</v>
      </c>
      <c r="G275" s="6">
        <v>94</v>
      </c>
      <c r="H275" s="6">
        <v>65044</v>
      </c>
      <c r="I275" s="6">
        <v>14600</v>
      </c>
      <c r="J275" s="6">
        <v>34</v>
      </c>
    </row>
    <row r="276" spans="1:10">
      <c r="A276" s="1" t="s">
        <v>11</v>
      </c>
      <c r="B276" s="7">
        <v>46106</v>
      </c>
      <c r="C276" s="5">
        <f>COUNTIF(B$114:B276,B276)</f>
        <v>1</v>
      </c>
      <c r="D276" s="12">
        <v>1600000</v>
      </c>
      <c r="E276" s="8">
        <v>24800</v>
      </c>
      <c r="F276" s="8">
        <v>40</v>
      </c>
      <c r="G276" s="8">
        <v>100</v>
      </c>
      <c r="H276" s="8">
        <v>52929</v>
      </c>
      <c r="I276" s="8">
        <v>11300</v>
      </c>
      <c r="J276" s="8">
        <v>33</v>
      </c>
    </row>
    <row r="277" spans="1:10">
      <c r="A277" s="1" t="s">
        <v>11</v>
      </c>
      <c r="B277" s="4">
        <v>46106</v>
      </c>
      <c r="C277" s="5">
        <f>COUNTIF(B$114:B277,B277)</f>
        <v>2</v>
      </c>
      <c r="D277" s="11">
        <v>2100000</v>
      </c>
      <c r="E277" s="6">
        <v>24900</v>
      </c>
      <c r="F277" s="6">
        <v>42</v>
      </c>
      <c r="G277" s="6">
        <v>113</v>
      </c>
      <c r="H277" s="6">
        <v>74116</v>
      </c>
      <c r="I277" s="6">
        <v>13900</v>
      </c>
      <c r="J277" s="6">
        <v>35</v>
      </c>
    </row>
    <row r="278" spans="1:10">
      <c r="A278" s="1" t="s">
        <v>11</v>
      </c>
      <c r="B278" s="7">
        <v>46107</v>
      </c>
      <c r="C278" s="5">
        <f>COUNTIF(B$114:B278,B278)</f>
        <v>1</v>
      </c>
      <c r="D278" s="12">
        <v>1500000</v>
      </c>
      <c r="E278" s="8">
        <v>21400</v>
      </c>
      <c r="F278" s="8">
        <v>41</v>
      </c>
      <c r="G278" s="8">
        <v>100</v>
      </c>
      <c r="H278" s="8">
        <v>59136</v>
      </c>
      <c r="I278" s="8">
        <v>10800</v>
      </c>
      <c r="J278" s="8">
        <v>33</v>
      </c>
    </row>
    <row r="279" spans="1:10">
      <c r="A279" s="1" t="s">
        <v>11</v>
      </c>
      <c r="B279" s="4">
        <v>46107</v>
      </c>
      <c r="C279" s="5">
        <f>COUNTIF(B$114:B279,B279)</f>
        <v>2</v>
      </c>
      <c r="D279" s="11">
        <v>1600000</v>
      </c>
      <c r="E279" s="6">
        <v>28600</v>
      </c>
      <c r="F279" s="6">
        <v>40</v>
      </c>
      <c r="G279" s="6">
        <v>104</v>
      </c>
      <c r="H279" s="6">
        <v>70893</v>
      </c>
      <c r="I279" s="6">
        <v>13600</v>
      </c>
      <c r="J279" s="6">
        <v>35</v>
      </c>
    </row>
    <row r="280" spans="1:10">
      <c r="A280" s="1" t="s">
        <v>11</v>
      </c>
      <c r="B280" s="7">
        <v>46108</v>
      </c>
      <c r="C280" s="5">
        <f>COUNTIF(B$114:B280,B280)</f>
        <v>1</v>
      </c>
      <c r="D280" s="12">
        <v>1700000</v>
      </c>
      <c r="E280" s="8">
        <v>25500</v>
      </c>
      <c r="F280" s="8">
        <v>43</v>
      </c>
      <c r="G280" s="8">
        <v>85</v>
      </c>
      <c r="H280" s="8">
        <v>64360</v>
      </c>
      <c r="I280" s="8">
        <v>10700</v>
      </c>
      <c r="J280" s="8">
        <v>35</v>
      </c>
    </row>
    <row r="281" spans="1:10">
      <c r="A281" s="1" t="s">
        <v>11</v>
      </c>
      <c r="B281" s="4">
        <v>46108</v>
      </c>
      <c r="C281" s="5">
        <f>COUNTIF(B$114:B281,B281)</f>
        <v>2</v>
      </c>
      <c r="D281" s="11">
        <v>2100000</v>
      </c>
      <c r="E281" s="6">
        <v>41600</v>
      </c>
      <c r="F281" s="6">
        <v>36</v>
      </c>
      <c r="G281" s="6">
        <v>108</v>
      </c>
      <c r="H281" s="6">
        <v>67855</v>
      </c>
      <c r="I281" s="6">
        <v>12500</v>
      </c>
      <c r="J281" s="6">
        <v>30</v>
      </c>
    </row>
    <row r="282" spans="1:10">
      <c r="A282" s="1" t="s">
        <v>11</v>
      </c>
      <c r="B282" s="7">
        <v>46109</v>
      </c>
      <c r="C282" s="5">
        <f>COUNTIF(B$114:B282,B282)</f>
        <v>1</v>
      </c>
      <c r="D282" s="12">
        <v>1200000</v>
      </c>
      <c r="E282" s="8">
        <v>13800</v>
      </c>
      <c r="F282" s="8">
        <v>35</v>
      </c>
      <c r="G282" s="8">
        <v>86</v>
      </c>
      <c r="H282" s="8">
        <v>55436</v>
      </c>
      <c r="I282" s="8">
        <v>10200</v>
      </c>
      <c r="J282" s="8">
        <v>27</v>
      </c>
    </row>
    <row r="283" spans="1:10">
      <c r="A283" s="1" t="s">
        <v>11</v>
      </c>
      <c r="B283" s="4">
        <v>46110</v>
      </c>
      <c r="C283" s="5">
        <f>COUNTIF(B$114:B283,B283)</f>
        <v>1</v>
      </c>
      <c r="D283" s="11">
        <v>4500000</v>
      </c>
      <c r="E283" s="6">
        <v>44000</v>
      </c>
      <c r="F283" s="6">
        <v>46</v>
      </c>
      <c r="G283" s="6">
        <v>139</v>
      </c>
      <c r="H283" s="6">
        <v>75099</v>
      </c>
      <c r="I283" s="6">
        <v>14300</v>
      </c>
      <c r="J283" s="6">
        <v>36</v>
      </c>
    </row>
    <row r="284" spans="1:10">
      <c r="A284" s="1" t="s">
        <v>11</v>
      </c>
      <c r="B284" s="7">
        <v>46110</v>
      </c>
      <c r="C284" s="5">
        <f>COUNTIF(B$114:B284,B284)</f>
        <v>2</v>
      </c>
      <c r="D284" s="12">
        <v>3100000</v>
      </c>
      <c r="E284" s="8">
        <v>72300</v>
      </c>
      <c r="F284" s="8">
        <v>47</v>
      </c>
      <c r="G284" s="8">
        <v>93</v>
      </c>
      <c r="H284" s="8">
        <v>77032</v>
      </c>
      <c r="I284" s="8">
        <v>15200</v>
      </c>
      <c r="J284" s="8">
        <v>42</v>
      </c>
    </row>
    <row r="285" spans="1:10">
      <c r="A285" s="1" t="s">
        <v>11</v>
      </c>
      <c r="B285" s="4">
        <v>46111</v>
      </c>
      <c r="C285" s="5">
        <f>COUNTIF(B$114:B285,B285)</f>
        <v>1</v>
      </c>
      <c r="D285" s="11">
        <v>1500000</v>
      </c>
      <c r="E285" s="6">
        <v>14000</v>
      </c>
      <c r="F285" s="6">
        <v>33</v>
      </c>
      <c r="G285" s="6">
        <v>61</v>
      </c>
      <c r="H285" s="6">
        <v>51711</v>
      </c>
      <c r="I285" s="6">
        <v>10700</v>
      </c>
      <c r="J285" s="6">
        <v>27</v>
      </c>
    </row>
    <row r="286" spans="1:10">
      <c r="A286" s="1" t="s">
        <v>11</v>
      </c>
      <c r="B286" s="7">
        <v>46111</v>
      </c>
      <c r="C286" s="5">
        <f>COUNTIF(B$114:B286,B286)</f>
        <v>2</v>
      </c>
      <c r="D286" s="12">
        <v>2300000</v>
      </c>
      <c r="E286" s="8">
        <v>31100</v>
      </c>
      <c r="F286" s="8">
        <v>40</v>
      </c>
      <c r="G286" s="8">
        <v>104</v>
      </c>
      <c r="H286" s="8">
        <v>76291</v>
      </c>
      <c r="I286" s="8">
        <v>12300</v>
      </c>
      <c r="J286" s="8">
        <v>33</v>
      </c>
    </row>
    <row r="287" spans="1:10">
      <c r="A287" s="1" t="s">
        <v>11</v>
      </c>
      <c r="B287" s="4">
        <v>46112</v>
      </c>
      <c r="C287" s="5">
        <f>COUNTIF(B$114:B287,B287)</f>
        <v>1</v>
      </c>
      <c r="D287" s="11">
        <v>1000000</v>
      </c>
      <c r="E287" s="6">
        <v>9623</v>
      </c>
      <c r="F287" s="6">
        <v>29</v>
      </c>
      <c r="G287" s="6">
        <v>51</v>
      </c>
      <c r="H287" s="6">
        <v>46114</v>
      </c>
      <c r="I287" s="6">
        <v>8445</v>
      </c>
      <c r="J287" s="6">
        <v>23</v>
      </c>
    </row>
    <row r="288" spans="1:10">
      <c r="A288" s="1" t="s">
        <v>11</v>
      </c>
      <c r="B288" s="7">
        <v>46112</v>
      </c>
      <c r="C288" s="5">
        <f>COUNTIF(B$114:B288,B288)</f>
        <v>2</v>
      </c>
      <c r="D288" s="12">
        <v>1300000</v>
      </c>
      <c r="E288" s="8">
        <v>12800</v>
      </c>
      <c r="F288" s="8">
        <v>31</v>
      </c>
      <c r="G288" s="8">
        <v>58</v>
      </c>
      <c r="H288" s="8">
        <v>60826</v>
      </c>
      <c r="I288" s="8">
        <v>8577</v>
      </c>
      <c r="J288" s="8">
        <v>27</v>
      </c>
    </row>
    <row r="289" spans="1:10">
      <c r="A289" s="1" t="s">
        <v>11</v>
      </c>
      <c r="B289" s="4">
        <v>46113</v>
      </c>
      <c r="C289" s="5">
        <f>COUNTIF(B$114:B289,B289)</f>
        <v>1</v>
      </c>
      <c r="D289" s="11">
        <v>1000000</v>
      </c>
      <c r="E289" s="6">
        <v>9304</v>
      </c>
      <c r="F289" s="6">
        <v>31</v>
      </c>
      <c r="G289" s="6">
        <v>68</v>
      </c>
      <c r="H289" s="6">
        <v>45063</v>
      </c>
      <c r="I289" s="6">
        <v>7432</v>
      </c>
      <c r="J289" s="6">
        <v>25</v>
      </c>
    </row>
    <row r="290" spans="1:10">
      <c r="A290" s="1" t="s">
        <v>11</v>
      </c>
      <c r="B290" s="7">
        <v>46113</v>
      </c>
      <c r="C290" s="5">
        <f>COUNTIF(B$114:B290,B290)</f>
        <v>2</v>
      </c>
      <c r="D290" s="12">
        <v>1300000</v>
      </c>
      <c r="E290" s="8">
        <v>17900</v>
      </c>
      <c r="F290" s="8">
        <v>24</v>
      </c>
      <c r="G290" s="8">
        <v>79</v>
      </c>
      <c r="H290" s="8">
        <v>197326</v>
      </c>
      <c r="I290" s="8">
        <v>8993</v>
      </c>
      <c r="J290" s="8">
        <v>19</v>
      </c>
    </row>
    <row r="291" spans="1:10">
      <c r="A291" s="1" t="s">
        <v>11</v>
      </c>
      <c r="B291" s="4">
        <v>46115</v>
      </c>
      <c r="C291" s="5">
        <f>COUNTIF(B$114:B291,B291)</f>
        <v>1</v>
      </c>
      <c r="D291" s="11">
        <v>1000000</v>
      </c>
      <c r="E291" s="6">
        <v>8165</v>
      </c>
      <c r="F291" s="6">
        <v>27</v>
      </c>
      <c r="G291" s="6">
        <v>47</v>
      </c>
      <c r="H291" s="6">
        <v>38181</v>
      </c>
      <c r="I291" s="6">
        <v>6051</v>
      </c>
      <c r="J291" s="6">
        <v>24</v>
      </c>
    </row>
    <row r="292" spans="1:10">
      <c r="A292" s="1" t="s">
        <v>11</v>
      </c>
      <c r="B292" s="7">
        <v>46115</v>
      </c>
      <c r="C292" s="5">
        <f>COUNTIF(B$114:B292,B292)</f>
        <v>2</v>
      </c>
      <c r="D292" s="12">
        <v>1100000</v>
      </c>
      <c r="E292" s="8">
        <v>10100</v>
      </c>
      <c r="F292" s="8">
        <v>25</v>
      </c>
      <c r="G292" s="8">
        <v>40</v>
      </c>
      <c r="H292" s="8">
        <v>44883</v>
      </c>
      <c r="I292" s="8">
        <v>6632</v>
      </c>
      <c r="J292" s="8">
        <v>22</v>
      </c>
    </row>
    <row r="293" spans="1:10">
      <c r="A293" s="1" t="s">
        <v>11</v>
      </c>
      <c r="B293" s="4">
        <v>46116</v>
      </c>
      <c r="C293" s="5">
        <f>COUNTIF(B$114:B293,B293)</f>
        <v>1</v>
      </c>
      <c r="D293" s="11">
        <v>955200</v>
      </c>
      <c r="E293" s="6">
        <v>7276</v>
      </c>
      <c r="F293" s="6">
        <v>28</v>
      </c>
      <c r="G293" s="6">
        <v>40</v>
      </c>
      <c r="H293" s="6">
        <v>39594</v>
      </c>
      <c r="I293" s="6">
        <v>5687</v>
      </c>
      <c r="J293" s="6">
        <v>23</v>
      </c>
    </row>
    <row r="294" spans="1:10">
      <c r="A294" s="1" t="s">
        <v>11</v>
      </c>
      <c r="B294" s="7">
        <v>46116</v>
      </c>
      <c r="C294" s="5">
        <f>COUNTIF(B$114:B294,B294)</f>
        <v>2</v>
      </c>
      <c r="D294" s="12">
        <v>912200</v>
      </c>
      <c r="E294" s="8">
        <v>8052</v>
      </c>
      <c r="F294" s="8">
        <v>26</v>
      </c>
      <c r="G294" s="8">
        <v>26</v>
      </c>
      <c r="H294" s="8">
        <v>38599</v>
      </c>
      <c r="I294" s="8">
        <v>6431</v>
      </c>
      <c r="J294" s="8">
        <v>23</v>
      </c>
    </row>
    <row r="295" spans="1:10">
      <c r="A295" s="1" t="s">
        <v>11</v>
      </c>
      <c r="B295" s="4">
        <v>46117</v>
      </c>
      <c r="C295" s="5">
        <f>COUNTIF(B$114:B295,B295)</f>
        <v>1</v>
      </c>
      <c r="D295" s="11">
        <v>1600000</v>
      </c>
      <c r="E295" s="6">
        <v>26100</v>
      </c>
      <c r="F295" s="6">
        <v>29</v>
      </c>
      <c r="G295" s="6">
        <v>45</v>
      </c>
      <c r="H295" s="6">
        <v>41694</v>
      </c>
      <c r="I295" s="6">
        <v>7011</v>
      </c>
      <c r="J295" s="6">
        <v>24</v>
      </c>
    </row>
    <row r="296" spans="1:10">
      <c r="A296" s="1" t="s">
        <v>11</v>
      </c>
      <c r="B296" s="7">
        <v>46117</v>
      </c>
      <c r="C296" s="5">
        <f>COUNTIF(B$114:B296,B296)</f>
        <v>2</v>
      </c>
      <c r="D296" s="12">
        <v>1100000</v>
      </c>
      <c r="E296" s="8">
        <v>14800</v>
      </c>
      <c r="F296" s="8">
        <v>25</v>
      </c>
      <c r="G296" s="8">
        <v>35</v>
      </c>
      <c r="H296" s="8">
        <v>39021</v>
      </c>
      <c r="I296" s="8">
        <v>6667</v>
      </c>
      <c r="J296" s="8">
        <v>22</v>
      </c>
    </row>
    <row r="297" spans="1:10">
      <c r="A297" s="1" t="s">
        <v>11</v>
      </c>
      <c r="B297" s="4">
        <v>46118</v>
      </c>
      <c r="C297" s="5">
        <f>COUNTIF(B$114:B297,B297)</f>
        <v>1</v>
      </c>
      <c r="D297" s="11">
        <v>1100000</v>
      </c>
      <c r="E297" s="6">
        <v>10700</v>
      </c>
      <c r="F297" s="6">
        <v>25</v>
      </c>
      <c r="G297" s="6">
        <v>47</v>
      </c>
      <c r="H297" s="6">
        <v>34703</v>
      </c>
      <c r="I297" s="6">
        <v>5732</v>
      </c>
      <c r="J297" s="6">
        <v>21</v>
      </c>
    </row>
    <row r="298" spans="1:10">
      <c r="A298" s="1" t="s">
        <v>11</v>
      </c>
      <c r="B298" s="7">
        <v>46118</v>
      </c>
      <c r="C298" s="5">
        <f>COUNTIF(B$114:B298,B298)</f>
        <v>2</v>
      </c>
      <c r="D298" s="12">
        <v>1100000</v>
      </c>
      <c r="E298" s="8">
        <v>8338</v>
      </c>
      <c r="F298" s="8">
        <v>26</v>
      </c>
      <c r="G298" s="8">
        <v>47</v>
      </c>
      <c r="H298" s="8">
        <v>39950</v>
      </c>
      <c r="I298" s="8">
        <v>6859</v>
      </c>
      <c r="J298" s="8">
        <v>22</v>
      </c>
    </row>
    <row r="299" spans="1:10">
      <c r="A299" s="1" t="s">
        <v>11</v>
      </c>
      <c r="B299" s="4">
        <v>46119</v>
      </c>
      <c r="C299" s="5">
        <f>COUNTIF(B$114:B299,B299)</f>
        <v>1</v>
      </c>
      <c r="D299" s="11">
        <v>897200</v>
      </c>
      <c r="E299" s="6">
        <v>9514</v>
      </c>
      <c r="F299" s="6">
        <v>26</v>
      </c>
      <c r="G299" s="6">
        <v>35</v>
      </c>
      <c r="H299" s="6">
        <v>34318</v>
      </c>
      <c r="I299" s="6">
        <v>5300</v>
      </c>
      <c r="J299" s="6">
        <v>20</v>
      </c>
    </row>
    <row r="300" spans="1:10">
      <c r="A300" s="1" t="s">
        <v>11</v>
      </c>
      <c r="B300" s="7">
        <v>46119</v>
      </c>
      <c r="C300" s="5">
        <f>COUNTIF(B$114:B300,B300)</f>
        <v>2</v>
      </c>
      <c r="D300" s="12">
        <v>1500000</v>
      </c>
      <c r="E300" s="8">
        <v>7593</v>
      </c>
      <c r="F300" s="8">
        <v>24</v>
      </c>
      <c r="G300" s="8">
        <v>32</v>
      </c>
      <c r="H300" s="8">
        <v>38428</v>
      </c>
      <c r="I300" s="8">
        <v>6000</v>
      </c>
      <c r="J300" s="8">
        <v>19</v>
      </c>
    </row>
    <row r="301" spans="1:10">
      <c r="A301" s="1" t="s">
        <v>11</v>
      </c>
      <c r="B301" s="4">
        <v>46120</v>
      </c>
      <c r="C301" s="5">
        <f>COUNTIF(B$114:B301,B301)</f>
        <v>1</v>
      </c>
      <c r="D301" s="11">
        <v>1100000</v>
      </c>
      <c r="E301" s="6">
        <v>8659</v>
      </c>
      <c r="F301" s="6">
        <v>30</v>
      </c>
      <c r="G301" s="6">
        <v>33</v>
      </c>
      <c r="H301" s="6">
        <v>33027</v>
      </c>
      <c r="I301" s="6">
        <v>6063</v>
      </c>
      <c r="J301" s="6">
        <v>23</v>
      </c>
    </row>
    <row r="302" spans="1:10">
      <c r="A302" s="1" t="s">
        <v>11</v>
      </c>
      <c r="B302" s="7">
        <v>46120</v>
      </c>
      <c r="C302" s="5">
        <f>COUNTIF(B$114:B302,B302)</f>
        <v>2</v>
      </c>
      <c r="D302" s="12">
        <v>1300000</v>
      </c>
      <c r="E302" s="8">
        <v>7383</v>
      </c>
      <c r="F302" s="8">
        <v>27</v>
      </c>
      <c r="G302" s="8">
        <v>32</v>
      </c>
      <c r="H302" s="8">
        <v>36571</v>
      </c>
      <c r="I302" s="8">
        <v>6269</v>
      </c>
      <c r="J302" s="8">
        <v>22</v>
      </c>
    </row>
    <row r="303" spans="1:10">
      <c r="A303" s="1" t="s">
        <v>11</v>
      </c>
      <c r="B303" s="4">
        <v>46121</v>
      </c>
      <c r="C303" s="5">
        <f>COUNTIF(B$114:B303,B303)</f>
        <v>1</v>
      </c>
      <c r="D303" s="11">
        <v>1200000</v>
      </c>
      <c r="E303" s="6">
        <v>4319</v>
      </c>
      <c r="F303" s="6">
        <v>5</v>
      </c>
      <c r="G303" s="6">
        <v>54</v>
      </c>
      <c r="H303" s="6">
        <v>33009</v>
      </c>
      <c r="I303" s="6">
        <v>2282</v>
      </c>
      <c r="J303" s="6">
        <v>4</v>
      </c>
    </row>
    <row r="304" spans="1:10">
      <c r="A304" s="1" t="s">
        <v>11</v>
      </c>
      <c r="B304" s="7">
        <v>46122</v>
      </c>
      <c r="C304" s="5">
        <f>COUNTIF(B$114:B304,B304)</f>
        <v>1</v>
      </c>
      <c r="D304" s="12">
        <v>1300000</v>
      </c>
      <c r="E304" s="8">
        <v>7879</v>
      </c>
      <c r="F304" s="8">
        <v>27</v>
      </c>
      <c r="G304" s="8">
        <v>44</v>
      </c>
      <c r="H304" s="8">
        <v>34351</v>
      </c>
      <c r="I304" s="8">
        <v>5400</v>
      </c>
      <c r="J304" s="8">
        <v>25</v>
      </c>
    </row>
    <row r="305" spans="1:10">
      <c r="A305" s="1" t="s">
        <v>11</v>
      </c>
      <c r="B305" s="4">
        <v>46122</v>
      </c>
      <c r="C305" s="5">
        <f>COUNTIF(B$114:B305,B305)</f>
        <v>2</v>
      </c>
      <c r="D305" s="11">
        <v>1000000</v>
      </c>
      <c r="E305" s="6">
        <v>9403</v>
      </c>
      <c r="F305" s="6">
        <v>26</v>
      </c>
      <c r="G305" s="6">
        <v>35</v>
      </c>
      <c r="H305" s="6">
        <v>37977</v>
      </c>
      <c r="I305" s="6">
        <v>5951</v>
      </c>
      <c r="J305" s="6">
        <v>22</v>
      </c>
    </row>
    <row r="306" spans="1:10">
      <c r="A306" s="1" t="s">
        <v>11</v>
      </c>
      <c r="B306" s="7">
        <v>46123</v>
      </c>
      <c r="C306" s="5">
        <f>COUNTIF(B$114:B306,B306)</f>
        <v>1</v>
      </c>
      <c r="D306" s="12">
        <v>1700000</v>
      </c>
      <c r="E306" s="8">
        <v>9448</v>
      </c>
      <c r="F306" s="8">
        <v>25</v>
      </c>
      <c r="G306" s="8">
        <v>118</v>
      </c>
      <c r="H306" s="8">
        <v>52201</v>
      </c>
      <c r="I306" s="8">
        <v>6277</v>
      </c>
      <c r="J306" s="8">
        <v>17</v>
      </c>
    </row>
    <row r="307" spans="1:10">
      <c r="A307" s="1" t="s">
        <v>11</v>
      </c>
      <c r="B307" s="4">
        <v>46124</v>
      </c>
      <c r="C307" s="5">
        <f>COUNTIF(B$114:B307,B307)</f>
        <v>1</v>
      </c>
      <c r="D307" s="11">
        <v>1700000</v>
      </c>
      <c r="E307" s="6">
        <v>11200</v>
      </c>
      <c r="F307" s="6">
        <v>29</v>
      </c>
      <c r="G307" s="6">
        <v>107</v>
      </c>
      <c r="H307" s="6">
        <v>49831</v>
      </c>
      <c r="I307" s="6">
        <v>6219</v>
      </c>
      <c r="J307" s="6">
        <v>16</v>
      </c>
    </row>
    <row r="308" spans="1:10">
      <c r="A308" s="1" t="s">
        <v>11</v>
      </c>
      <c r="B308" s="7">
        <v>46124</v>
      </c>
      <c r="C308" s="5">
        <f>COUNTIF(B$114:B308,B308)</f>
        <v>2</v>
      </c>
      <c r="D308" s="12">
        <v>1100000</v>
      </c>
      <c r="E308" s="8">
        <v>6063</v>
      </c>
      <c r="F308" s="8">
        <v>23</v>
      </c>
      <c r="G308" s="8">
        <v>61</v>
      </c>
      <c r="H308" s="8">
        <v>39053</v>
      </c>
      <c r="I308" s="8">
        <v>5296</v>
      </c>
      <c r="J308" s="8">
        <v>15</v>
      </c>
    </row>
    <row r="309" spans="1:10">
      <c r="A309" s="1" t="s">
        <v>11</v>
      </c>
      <c r="B309" s="4">
        <v>46125</v>
      </c>
      <c r="C309" s="5">
        <f>COUNTIF(B$114:B309,B309)</f>
        <v>1</v>
      </c>
      <c r="D309" s="11">
        <v>1800000</v>
      </c>
      <c r="E309" s="6">
        <v>10700</v>
      </c>
      <c r="F309" s="6">
        <v>34</v>
      </c>
      <c r="G309" s="6">
        <v>81</v>
      </c>
      <c r="H309" s="6">
        <v>41676</v>
      </c>
      <c r="I309" s="6">
        <v>5832</v>
      </c>
      <c r="J309" s="6">
        <v>21</v>
      </c>
    </row>
    <row r="310" spans="1:10">
      <c r="A310" s="1" t="s">
        <v>11</v>
      </c>
      <c r="B310" s="7">
        <v>46125</v>
      </c>
      <c r="C310" s="5">
        <f>COUNTIF(B$114:B310,B310)</f>
        <v>2</v>
      </c>
      <c r="D310" s="12">
        <v>1000000</v>
      </c>
      <c r="E310" s="8">
        <v>7092</v>
      </c>
      <c r="F310" s="8">
        <v>27</v>
      </c>
      <c r="G310" s="8">
        <v>62</v>
      </c>
      <c r="H310" s="8">
        <v>38002</v>
      </c>
      <c r="I310" s="8">
        <v>6313</v>
      </c>
      <c r="J310" s="8">
        <v>19</v>
      </c>
    </row>
    <row r="311" spans="1:10">
      <c r="A311" s="1" t="s">
        <v>11</v>
      </c>
      <c r="B311" s="4">
        <v>46126</v>
      </c>
      <c r="C311" s="5">
        <f>COUNTIF(B$114:B311,B311)</f>
        <v>1</v>
      </c>
      <c r="D311" s="11">
        <v>1300000</v>
      </c>
      <c r="E311" s="6">
        <v>9817</v>
      </c>
      <c r="F311" s="6">
        <v>32</v>
      </c>
      <c r="G311" s="6">
        <v>51</v>
      </c>
      <c r="H311" s="6">
        <v>36998</v>
      </c>
      <c r="I311" s="6">
        <v>5897</v>
      </c>
      <c r="J311" s="6">
        <v>23</v>
      </c>
    </row>
    <row r="312" spans="1:10">
      <c r="A312" s="1" t="s">
        <v>11</v>
      </c>
      <c r="B312" s="7">
        <v>46126</v>
      </c>
      <c r="C312" s="5">
        <f>COUNTIF(B$114:B312,B312)</f>
        <v>2</v>
      </c>
      <c r="D312" s="12">
        <v>1000000</v>
      </c>
      <c r="E312" s="8">
        <v>6337</v>
      </c>
      <c r="F312" s="8">
        <v>23</v>
      </c>
      <c r="G312" s="8">
        <v>63</v>
      </c>
      <c r="H312" s="8">
        <v>38368</v>
      </c>
      <c r="I312" s="8">
        <v>5603</v>
      </c>
      <c r="J312" s="8">
        <v>14</v>
      </c>
    </row>
    <row r="313" spans="1:10">
      <c r="A313" s="1" t="s">
        <v>11</v>
      </c>
      <c r="B313" s="4">
        <v>46127</v>
      </c>
      <c r="C313" s="5">
        <f>COUNTIF(B$114:B313,B313)</f>
        <v>1</v>
      </c>
      <c r="D313" s="11">
        <v>1400000</v>
      </c>
      <c r="E313" s="6">
        <v>12100</v>
      </c>
      <c r="F313" s="6">
        <v>31</v>
      </c>
      <c r="G313" s="6">
        <v>35</v>
      </c>
      <c r="H313" s="6">
        <v>34045</v>
      </c>
      <c r="I313" s="6">
        <v>6293</v>
      </c>
      <c r="J313" s="6">
        <v>23</v>
      </c>
    </row>
    <row r="314" spans="1:10">
      <c r="A314" s="1" t="s">
        <v>11</v>
      </c>
      <c r="B314" s="7">
        <v>46127</v>
      </c>
      <c r="C314" s="5">
        <f>COUNTIF(B$114:B314,B314)</f>
        <v>2</v>
      </c>
      <c r="D314" s="12">
        <v>1300000</v>
      </c>
      <c r="E314" s="8">
        <v>15700</v>
      </c>
      <c r="F314" s="8">
        <v>31</v>
      </c>
      <c r="G314" s="8">
        <v>47</v>
      </c>
      <c r="H314" s="8">
        <v>39605</v>
      </c>
      <c r="I314" s="8">
        <v>7638</v>
      </c>
      <c r="J314" s="8">
        <v>25</v>
      </c>
    </row>
    <row r="315" spans="1:10">
      <c r="A315" s="1" t="s">
        <v>11</v>
      </c>
      <c r="B315" s="27">
        <v>46128</v>
      </c>
      <c r="C315" s="5">
        <f>COUNTIF(B$114:B315,B315)</f>
        <v>1</v>
      </c>
      <c r="D315" s="28">
        <v>845900</v>
      </c>
      <c r="E315" s="29">
        <v>4372</v>
      </c>
      <c r="F315" s="29">
        <v>4</v>
      </c>
      <c r="G315" s="29">
        <v>49</v>
      </c>
      <c r="H315" s="30">
        <v>29103</v>
      </c>
      <c r="I315" s="30">
        <v>1979</v>
      </c>
      <c r="J315" s="30">
        <v>3</v>
      </c>
    </row>
    <row r="316" spans="1:10">
      <c r="A316" s="1" t="s">
        <v>11</v>
      </c>
      <c r="B316" s="31">
        <v>46129</v>
      </c>
      <c r="C316" s="5">
        <f>COUNTIF(B$114:B316,B316)</f>
        <v>1</v>
      </c>
      <c r="D316" s="16">
        <v>1600000</v>
      </c>
      <c r="E316" s="17">
        <v>12300</v>
      </c>
      <c r="F316" s="17">
        <v>35</v>
      </c>
      <c r="G316" s="17">
        <v>42</v>
      </c>
      <c r="H316" s="18">
        <v>47023</v>
      </c>
      <c r="I316" s="18">
        <v>7298</v>
      </c>
      <c r="J316" s="18">
        <v>24</v>
      </c>
    </row>
    <row r="317" spans="1:10">
      <c r="A317" s="1" t="s">
        <v>11</v>
      </c>
      <c r="B317" s="27">
        <v>46129</v>
      </c>
      <c r="C317" s="5">
        <f>COUNTIF(B$114:B317,B317)</f>
        <v>2</v>
      </c>
      <c r="D317" s="28">
        <v>1400000</v>
      </c>
      <c r="E317" s="29">
        <v>10600</v>
      </c>
      <c r="F317" s="29">
        <v>33</v>
      </c>
      <c r="G317" s="29">
        <v>50</v>
      </c>
      <c r="H317" s="30">
        <v>47869</v>
      </c>
      <c r="I317" s="30">
        <v>7304</v>
      </c>
      <c r="J317" s="30">
        <v>26</v>
      </c>
    </row>
    <row r="318" spans="1:10">
      <c r="A318" s="1" t="s">
        <v>11</v>
      </c>
      <c r="B318" s="31">
        <v>46130</v>
      </c>
      <c r="C318" s="5">
        <f>COUNTIF(B$114:B318,B318)</f>
        <v>1</v>
      </c>
      <c r="D318" s="16">
        <v>1400000</v>
      </c>
      <c r="E318" s="17">
        <v>12500</v>
      </c>
      <c r="F318" s="17">
        <v>35</v>
      </c>
      <c r="G318" s="17">
        <v>35</v>
      </c>
      <c r="H318" s="18">
        <v>48080</v>
      </c>
      <c r="I318" s="18">
        <v>7479</v>
      </c>
      <c r="J318" s="18">
        <v>25</v>
      </c>
    </row>
    <row r="319" ht="13.75" spans="1:10">
      <c r="A319" s="1" t="s">
        <v>11</v>
      </c>
      <c r="B319" s="27">
        <v>46130</v>
      </c>
      <c r="C319" s="5">
        <f>COUNTIF(B$114:B319,B319)</f>
        <v>2</v>
      </c>
      <c r="D319" s="28">
        <v>1400000</v>
      </c>
      <c r="E319" s="29">
        <v>13900</v>
      </c>
      <c r="F319" s="29">
        <v>32</v>
      </c>
      <c r="G319" s="29">
        <v>46</v>
      </c>
      <c r="H319" s="30">
        <v>46349</v>
      </c>
      <c r="I319" s="30">
        <v>8284</v>
      </c>
      <c r="J319" s="30">
        <v>26</v>
      </c>
    </row>
    <row r="320" spans="1:10">
      <c r="A320" s="1" t="s">
        <v>18</v>
      </c>
      <c r="B320" s="32">
        <v>46027</v>
      </c>
      <c r="C320" s="5">
        <f>COUNTIF(B$320:B320,B320)</f>
        <v>1</v>
      </c>
      <c r="D320" s="33">
        <v>201700</v>
      </c>
      <c r="E320" s="34">
        <v>4251</v>
      </c>
      <c r="F320" s="34">
        <v>36</v>
      </c>
      <c r="G320" s="34">
        <v>995</v>
      </c>
      <c r="H320" s="34">
        <v>14299</v>
      </c>
      <c r="I320" s="34">
        <v>1499</v>
      </c>
      <c r="J320" s="34">
        <v>10</v>
      </c>
    </row>
    <row r="321" spans="1:10">
      <c r="A321" s="1" t="s">
        <v>18</v>
      </c>
      <c r="B321" s="35">
        <v>46028</v>
      </c>
      <c r="C321" s="5">
        <f>COUNTIF(B$320:B321,B321)</f>
        <v>1</v>
      </c>
      <c r="D321" s="36">
        <v>223700</v>
      </c>
      <c r="E321" s="37">
        <v>3354</v>
      </c>
      <c r="F321" s="37">
        <v>29</v>
      </c>
      <c r="G321" s="37">
        <v>563</v>
      </c>
      <c r="H321" s="37">
        <v>14176</v>
      </c>
      <c r="I321" s="37">
        <v>1426</v>
      </c>
      <c r="J321" s="37">
        <v>9</v>
      </c>
    </row>
    <row r="322" spans="1:10">
      <c r="A322" s="1" t="s">
        <v>18</v>
      </c>
      <c r="B322" s="38">
        <v>46030</v>
      </c>
      <c r="C322" s="5">
        <f>COUNTIF(B$320:B322,B322)</f>
        <v>1</v>
      </c>
      <c r="D322" s="39">
        <v>397300</v>
      </c>
      <c r="E322" s="40">
        <v>5390</v>
      </c>
      <c r="F322" s="40">
        <v>36</v>
      </c>
      <c r="G322" s="40">
        <v>667</v>
      </c>
      <c r="H322" s="40">
        <v>20936</v>
      </c>
      <c r="I322" s="40">
        <v>1953</v>
      </c>
      <c r="J322" s="40">
        <v>10</v>
      </c>
    </row>
    <row r="323" spans="1:10">
      <c r="A323" s="1" t="s">
        <v>18</v>
      </c>
      <c r="B323" s="35">
        <v>46031</v>
      </c>
      <c r="C323" s="5">
        <f>COUNTIF(B$320:B323,B323)</f>
        <v>1</v>
      </c>
      <c r="D323" s="36">
        <v>792700</v>
      </c>
      <c r="E323" s="37">
        <v>8690</v>
      </c>
      <c r="F323" s="37">
        <v>43</v>
      </c>
      <c r="G323" s="37">
        <v>836</v>
      </c>
      <c r="H323" s="37">
        <v>26480</v>
      </c>
      <c r="I323" s="37">
        <v>2794</v>
      </c>
      <c r="J323" s="37">
        <v>14</v>
      </c>
    </row>
    <row r="324" spans="1:10">
      <c r="A324" s="1" t="s">
        <v>18</v>
      </c>
      <c r="B324" s="38">
        <v>46034</v>
      </c>
      <c r="C324" s="5">
        <f>COUNTIF(B$320:B324,B324)</f>
        <v>1</v>
      </c>
      <c r="D324" s="39">
        <v>369700</v>
      </c>
      <c r="E324" s="40">
        <v>4112</v>
      </c>
      <c r="F324" s="40">
        <v>32</v>
      </c>
      <c r="G324" s="40">
        <v>356</v>
      </c>
      <c r="H324" s="40">
        <v>17301</v>
      </c>
      <c r="I324" s="40">
        <v>1814</v>
      </c>
      <c r="J324" s="40">
        <v>13</v>
      </c>
    </row>
    <row r="325" spans="1:10">
      <c r="A325" s="1" t="s">
        <v>18</v>
      </c>
      <c r="B325" s="35">
        <v>46035</v>
      </c>
      <c r="C325" s="5">
        <f>COUNTIF(B$320:B325,B325)</f>
        <v>1</v>
      </c>
      <c r="D325" s="36">
        <v>340100</v>
      </c>
      <c r="E325" s="37">
        <v>2893</v>
      </c>
      <c r="F325" s="37">
        <v>26</v>
      </c>
      <c r="G325" s="37">
        <v>231</v>
      </c>
      <c r="H325" s="37">
        <v>15951</v>
      </c>
      <c r="I325" s="37">
        <v>1629</v>
      </c>
      <c r="J325" s="37">
        <v>10</v>
      </c>
    </row>
    <row r="326" spans="1:10">
      <c r="A326" s="1" t="s">
        <v>18</v>
      </c>
      <c r="B326" s="38">
        <v>46036</v>
      </c>
      <c r="C326" s="5">
        <f>COUNTIF(B$320:B326,B326)</f>
        <v>1</v>
      </c>
      <c r="D326" s="39">
        <v>274100</v>
      </c>
      <c r="E326" s="40">
        <v>2770</v>
      </c>
      <c r="F326" s="40">
        <v>25</v>
      </c>
      <c r="G326" s="40">
        <v>267</v>
      </c>
      <c r="H326" s="40">
        <v>14040</v>
      </c>
      <c r="I326" s="40">
        <v>1597</v>
      </c>
      <c r="J326" s="40">
        <v>10</v>
      </c>
    </row>
    <row r="327" spans="1:10">
      <c r="A327" s="1" t="s">
        <v>18</v>
      </c>
      <c r="B327" s="35">
        <v>46037</v>
      </c>
      <c r="C327" s="5">
        <f>COUNTIF(B$320:B327,B327)</f>
        <v>1</v>
      </c>
      <c r="D327" s="36">
        <v>341400</v>
      </c>
      <c r="E327" s="37">
        <v>3849</v>
      </c>
      <c r="F327" s="37">
        <v>29</v>
      </c>
      <c r="G327" s="37">
        <v>290</v>
      </c>
      <c r="H327" s="37">
        <v>18635</v>
      </c>
      <c r="I327" s="37">
        <v>2165</v>
      </c>
      <c r="J327" s="37">
        <v>12</v>
      </c>
    </row>
    <row r="328" spans="1:10">
      <c r="A328" s="1" t="s">
        <v>18</v>
      </c>
      <c r="B328" s="38">
        <v>46039</v>
      </c>
      <c r="C328" s="5">
        <f>COUNTIF(B$320:B328,B328)</f>
        <v>1</v>
      </c>
      <c r="D328" s="39">
        <v>444600</v>
      </c>
      <c r="E328" s="40">
        <v>5043</v>
      </c>
      <c r="F328" s="40">
        <v>32</v>
      </c>
      <c r="G328" s="40">
        <v>426</v>
      </c>
      <c r="H328" s="40">
        <v>23581</v>
      </c>
      <c r="I328" s="40">
        <v>2433</v>
      </c>
      <c r="J328" s="40">
        <v>12</v>
      </c>
    </row>
    <row r="329" spans="1:10">
      <c r="A329" s="1" t="s">
        <v>18</v>
      </c>
      <c r="B329" s="35">
        <v>46040</v>
      </c>
      <c r="C329" s="5">
        <f>COUNTIF(B$320:B329,B329)</f>
        <v>1</v>
      </c>
      <c r="D329" s="36">
        <v>428600</v>
      </c>
      <c r="E329" s="37">
        <v>5447</v>
      </c>
      <c r="F329" s="37">
        <v>33</v>
      </c>
      <c r="G329" s="37">
        <v>366</v>
      </c>
      <c r="H329" s="37">
        <v>23344</v>
      </c>
      <c r="I329" s="37">
        <v>2712</v>
      </c>
      <c r="J329" s="37">
        <v>13</v>
      </c>
    </row>
    <row r="330" spans="1:10">
      <c r="A330" s="1" t="s">
        <v>18</v>
      </c>
      <c r="B330" s="38">
        <v>46041</v>
      </c>
      <c r="C330" s="5">
        <f>COUNTIF(B$320:B330,B330)</f>
        <v>1</v>
      </c>
      <c r="D330" s="39">
        <v>79600</v>
      </c>
      <c r="E330" s="40">
        <v>2054</v>
      </c>
      <c r="F330" s="40">
        <v>17</v>
      </c>
      <c r="G330" s="40">
        <v>127</v>
      </c>
      <c r="H330" s="40">
        <v>17414</v>
      </c>
      <c r="I330" s="40">
        <v>1866</v>
      </c>
      <c r="J330" s="40">
        <v>7</v>
      </c>
    </row>
    <row r="331" spans="1:10">
      <c r="A331" s="1" t="s">
        <v>18</v>
      </c>
      <c r="B331" s="35">
        <v>46041</v>
      </c>
      <c r="C331" s="5">
        <f>COUNTIF(B$320:B331,B331)</f>
        <v>2</v>
      </c>
      <c r="D331" s="36">
        <v>672100</v>
      </c>
      <c r="E331" s="37">
        <v>8588</v>
      </c>
      <c r="F331" s="37">
        <v>38</v>
      </c>
      <c r="G331" s="37">
        <v>532</v>
      </c>
      <c r="H331" s="37">
        <v>31316</v>
      </c>
      <c r="I331" s="37">
        <v>4590</v>
      </c>
      <c r="J331" s="37">
        <v>16</v>
      </c>
    </row>
    <row r="332" spans="1:10">
      <c r="A332" s="1" t="s">
        <v>18</v>
      </c>
      <c r="B332" s="38">
        <v>46042</v>
      </c>
      <c r="C332" s="5">
        <f>COUNTIF(B$320:B332,B332)</f>
        <v>1</v>
      </c>
      <c r="D332" s="39">
        <v>361200</v>
      </c>
      <c r="E332" s="40">
        <v>5265</v>
      </c>
      <c r="F332" s="40">
        <v>29</v>
      </c>
      <c r="G332" s="40">
        <v>222</v>
      </c>
      <c r="H332" s="40">
        <v>24068</v>
      </c>
      <c r="I332" s="40">
        <v>2414</v>
      </c>
      <c r="J332" s="40">
        <v>9</v>
      </c>
    </row>
    <row r="333" spans="1:10">
      <c r="A333" s="1" t="s">
        <v>18</v>
      </c>
      <c r="B333" s="35">
        <v>46043</v>
      </c>
      <c r="C333" s="5">
        <f>COUNTIF(B$320:B333,B333)</f>
        <v>1</v>
      </c>
      <c r="D333" s="36">
        <v>248500</v>
      </c>
      <c r="E333" s="37">
        <v>3495</v>
      </c>
      <c r="F333" s="37">
        <v>27</v>
      </c>
      <c r="G333" s="37">
        <v>178</v>
      </c>
      <c r="H333" s="37">
        <v>18805</v>
      </c>
      <c r="I333" s="37">
        <v>2176</v>
      </c>
      <c r="J333" s="37">
        <v>10</v>
      </c>
    </row>
    <row r="334" spans="1:10">
      <c r="A334" s="1" t="s">
        <v>18</v>
      </c>
      <c r="B334" s="38">
        <v>46044</v>
      </c>
      <c r="C334" s="5">
        <f>COUNTIF(B$320:B334,B334)</f>
        <v>1</v>
      </c>
      <c r="D334" s="39">
        <v>308400</v>
      </c>
      <c r="E334" s="40">
        <v>5378</v>
      </c>
      <c r="F334" s="40">
        <v>32</v>
      </c>
      <c r="G334" s="40">
        <v>318</v>
      </c>
      <c r="H334" s="40">
        <v>23622</v>
      </c>
      <c r="I334" s="40">
        <v>2798</v>
      </c>
      <c r="J334" s="40">
        <v>10</v>
      </c>
    </row>
    <row r="335" spans="1:10">
      <c r="A335" s="1" t="s">
        <v>18</v>
      </c>
      <c r="B335" s="35">
        <v>46046</v>
      </c>
      <c r="C335" s="5">
        <f>COUNTIF(B$320:B335,B335)</f>
        <v>1</v>
      </c>
      <c r="D335" s="36">
        <v>475300</v>
      </c>
      <c r="E335" s="37">
        <v>4222</v>
      </c>
      <c r="F335" s="37">
        <v>27</v>
      </c>
      <c r="G335" s="37">
        <v>350</v>
      </c>
      <c r="H335" s="37">
        <v>27646</v>
      </c>
      <c r="I335" s="37">
        <v>2317</v>
      </c>
      <c r="J335" s="37">
        <v>8</v>
      </c>
    </row>
    <row r="336" spans="1:10">
      <c r="A336" s="1" t="s">
        <v>18</v>
      </c>
      <c r="B336" s="38">
        <v>46047</v>
      </c>
      <c r="C336" s="5">
        <f>COUNTIF(B$320:B336,B336)</f>
        <v>1</v>
      </c>
      <c r="D336" s="39">
        <v>458700</v>
      </c>
      <c r="E336" s="40">
        <v>5776</v>
      </c>
      <c r="F336" s="40">
        <v>29</v>
      </c>
      <c r="G336" s="40">
        <v>137</v>
      </c>
      <c r="H336" s="40">
        <v>15968</v>
      </c>
      <c r="I336" s="40">
        <v>2180</v>
      </c>
      <c r="J336" s="40">
        <v>17</v>
      </c>
    </row>
    <row r="337" spans="1:10">
      <c r="A337" s="1" t="s">
        <v>18</v>
      </c>
      <c r="B337" s="35">
        <v>46048</v>
      </c>
      <c r="C337" s="5">
        <f>COUNTIF(B$320:B337,B337)</f>
        <v>1</v>
      </c>
      <c r="D337" s="36">
        <v>283500</v>
      </c>
      <c r="E337" s="37">
        <v>4330</v>
      </c>
      <c r="F337" s="37">
        <v>27</v>
      </c>
      <c r="G337" s="37">
        <v>116</v>
      </c>
      <c r="H337" s="37">
        <v>11121</v>
      </c>
      <c r="I337" s="37">
        <v>1723</v>
      </c>
      <c r="J337" s="37">
        <v>15</v>
      </c>
    </row>
    <row r="338" spans="1:10">
      <c r="A338" s="1" t="s">
        <v>18</v>
      </c>
      <c r="B338" s="38">
        <v>46048</v>
      </c>
      <c r="C338" s="5">
        <f>COUNTIF(B$320:B338,B338)</f>
        <v>2</v>
      </c>
      <c r="D338" s="39">
        <v>284600</v>
      </c>
      <c r="E338" s="40">
        <v>4899</v>
      </c>
      <c r="F338" s="40">
        <v>33</v>
      </c>
      <c r="G338" s="40">
        <v>150</v>
      </c>
      <c r="H338" s="40">
        <v>17122</v>
      </c>
      <c r="I338" s="40">
        <v>2264</v>
      </c>
      <c r="J338" s="40">
        <v>17</v>
      </c>
    </row>
    <row r="339" spans="1:10">
      <c r="A339" s="1" t="s">
        <v>18</v>
      </c>
      <c r="B339" s="35">
        <v>46049</v>
      </c>
      <c r="C339" s="5">
        <f>COUNTIF(B$320:B339,B339)</f>
        <v>1</v>
      </c>
      <c r="D339" s="36">
        <v>268300</v>
      </c>
      <c r="E339" s="37">
        <v>3476</v>
      </c>
      <c r="F339" s="37">
        <v>31</v>
      </c>
      <c r="G339" s="37">
        <v>119</v>
      </c>
      <c r="H339" s="37">
        <v>12342</v>
      </c>
      <c r="I339" s="37">
        <v>1695</v>
      </c>
      <c r="J339" s="37">
        <v>16</v>
      </c>
    </row>
    <row r="340" spans="1:10">
      <c r="A340" s="1" t="s">
        <v>18</v>
      </c>
      <c r="B340" s="38">
        <v>46049</v>
      </c>
      <c r="C340" s="5">
        <f>COUNTIF(B$320:B340,B340)</f>
        <v>2</v>
      </c>
      <c r="D340" s="39">
        <v>229600</v>
      </c>
      <c r="E340" s="40">
        <v>4579</v>
      </c>
      <c r="F340" s="40">
        <v>29</v>
      </c>
      <c r="G340" s="40">
        <v>87</v>
      </c>
      <c r="H340" s="40">
        <v>13001</v>
      </c>
      <c r="I340" s="40">
        <v>1918</v>
      </c>
      <c r="J340" s="40">
        <v>17</v>
      </c>
    </row>
    <row r="341" spans="1:10">
      <c r="A341" s="1" t="s">
        <v>18</v>
      </c>
      <c r="B341" s="35">
        <v>46050</v>
      </c>
      <c r="C341" s="5">
        <f>COUNTIF(B$320:B341,B341)</f>
        <v>1</v>
      </c>
      <c r="D341" s="36">
        <v>280800</v>
      </c>
      <c r="E341" s="37">
        <v>3763</v>
      </c>
      <c r="F341" s="37">
        <v>34</v>
      </c>
      <c r="G341" s="37">
        <v>99</v>
      </c>
      <c r="H341" s="37">
        <v>10904</v>
      </c>
      <c r="I341" s="37">
        <v>1744</v>
      </c>
      <c r="J341" s="37">
        <v>18</v>
      </c>
    </row>
    <row r="342" spans="1:10">
      <c r="A342" s="1" t="s">
        <v>18</v>
      </c>
      <c r="B342" s="38">
        <v>46050</v>
      </c>
      <c r="C342" s="5">
        <f>COUNTIF(B$320:B342,B342)</f>
        <v>2</v>
      </c>
      <c r="D342" s="39">
        <v>261600</v>
      </c>
      <c r="E342" s="40">
        <v>3192</v>
      </c>
      <c r="F342" s="40">
        <v>29</v>
      </c>
      <c r="G342" s="40">
        <v>55</v>
      </c>
      <c r="H342" s="40">
        <v>11407</v>
      </c>
      <c r="I342" s="40">
        <v>1652</v>
      </c>
      <c r="J342" s="40">
        <v>17</v>
      </c>
    </row>
    <row r="343" spans="1:10">
      <c r="A343" s="1" t="s">
        <v>18</v>
      </c>
      <c r="B343" s="35">
        <v>46051</v>
      </c>
      <c r="C343" s="5">
        <f>COUNTIF(B$320:B343,B343)</f>
        <v>1</v>
      </c>
      <c r="D343" s="36">
        <v>235400</v>
      </c>
      <c r="E343" s="37">
        <v>2776</v>
      </c>
      <c r="F343" s="37">
        <v>27</v>
      </c>
      <c r="G343" s="37">
        <v>67</v>
      </c>
      <c r="H343" s="37">
        <v>9563</v>
      </c>
      <c r="I343" s="37">
        <v>1849</v>
      </c>
      <c r="J343" s="37">
        <v>15</v>
      </c>
    </row>
    <row r="344" spans="1:10">
      <c r="A344" s="1" t="s">
        <v>18</v>
      </c>
      <c r="B344" s="38">
        <v>46051</v>
      </c>
      <c r="C344" s="5">
        <f>COUNTIF(B$320:B344,B344)</f>
        <v>2</v>
      </c>
      <c r="D344" s="39">
        <v>240800</v>
      </c>
      <c r="E344" s="40">
        <v>3265</v>
      </c>
      <c r="F344" s="40">
        <v>27</v>
      </c>
      <c r="G344" s="40">
        <v>95</v>
      </c>
      <c r="H344" s="40">
        <v>11864</v>
      </c>
      <c r="I344" s="40">
        <v>1877</v>
      </c>
      <c r="J344" s="40">
        <v>16</v>
      </c>
    </row>
    <row r="345" spans="1:10">
      <c r="A345" s="1" t="s">
        <v>18</v>
      </c>
      <c r="B345" s="35">
        <v>46053</v>
      </c>
      <c r="C345" s="5">
        <f>COUNTIF(B$320:B345,B345)</f>
        <v>1</v>
      </c>
      <c r="D345" s="36">
        <v>438400</v>
      </c>
      <c r="E345" s="37">
        <v>4635</v>
      </c>
      <c r="F345" s="37">
        <v>29</v>
      </c>
      <c r="G345" s="37">
        <v>99</v>
      </c>
      <c r="H345" s="37">
        <v>15385</v>
      </c>
      <c r="I345" s="37">
        <v>2163</v>
      </c>
      <c r="J345" s="37">
        <v>17</v>
      </c>
    </row>
    <row r="346" spans="1:10">
      <c r="A346" s="1" t="s">
        <v>18</v>
      </c>
      <c r="B346" s="38">
        <v>46054</v>
      </c>
      <c r="C346" s="5">
        <f>COUNTIF(B$320:B346,B346)</f>
        <v>1</v>
      </c>
      <c r="D346" s="39">
        <v>330300</v>
      </c>
      <c r="E346" s="40">
        <v>4157</v>
      </c>
      <c r="F346" s="40">
        <v>24</v>
      </c>
      <c r="G346" s="40">
        <v>115</v>
      </c>
      <c r="H346" s="40">
        <v>13773</v>
      </c>
      <c r="I346" s="40">
        <v>1981</v>
      </c>
      <c r="J346" s="40">
        <v>12</v>
      </c>
    </row>
    <row r="347" spans="1:10">
      <c r="A347" s="1" t="s">
        <v>18</v>
      </c>
      <c r="B347" s="35">
        <v>46054</v>
      </c>
      <c r="C347" s="5">
        <f>COUNTIF(B$320:B347,B347)</f>
        <v>2</v>
      </c>
      <c r="D347" s="36">
        <v>347600</v>
      </c>
      <c r="E347" s="37">
        <v>3307</v>
      </c>
      <c r="F347" s="37">
        <v>29</v>
      </c>
      <c r="G347" s="37">
        <v>96</v>
      </c>
      <c r="H347" s="37">
        <v>14851</v>
      </c>
      <c r="I347" s="37">
        <v>2047</v>
      </c>
      <c r="J347" s="37">
        <v>17</v>
      </c>
    </row>
    <row r="348" spans="1:10">
      <c r="A348" s="1" t="s">
        <v>18</v>
      </c>
      <c r="B348" s="38">
        <v>46055</v>
      </c>
      <c r="C348" s="5">
        <f>COUNTIF(B$320:B348,B348)</f>
        <v>1</v>
      </c>
      <c r="D348" s="39">
        <v>352200</v>
      </c>
      <c r="E348" s="40">
        <v>4357</v>
      </c>
      <c r="F348" s="40">
        <v>29</v>
      </c>
      <c r="G348" s="40">
        <v>89</v>
      </c>
      <c r="H348" s="40">
        <v>12650</v>
      </c>
      <c r="I348" s="40">
        <v>1931</v>
      </c>
      <c r="J348" s="40">
        <v>15</v>
      </c>
    </row>
    <row r="349" spans="1:10">
      <c r="A349" s="1" t="s">
        <v>18</v>
      </c>
      <c r="B349" s="35">
        <v>46055</v>
      </c>
      <c r="C349" s="5">
        <f>COUNTIF(B$320:B349,B349)</f>
        <v>2</v>
      </c>
      <c r="D349" s="36">
        <v>517100</v>
      </c>
      <c r="E349" s="37">
        <v>6745</v>
      </c>
      <c r="F349" s="37">
        <v>36</v>
      </c>
      <c r="G349" s="37">
        <v>151</v>
      </c>
      <c r="H349" s="37">
        <v>18271</v>
      </c>
      <c r="I349" s="37">
        <v>3053</v>
      </c>
      <c r="J349" s="37">
        <v>19</v>
      </c>
    </row>
    <row r="350" spans="1:10">
      <c r="A350" s="1" t="s">
        <v>18</v>
      </c>
      <c r="B350" s="38">
        <v>46056</v>
      </c>
      <c r="C350" s="5">
        <f>COUNTIF(B$320:B350,B350)</f>
        <v>1</v>
      </c>
      <c r="D350" s="39">
        <v>252600</v>
      </c>
      <c r="E350" s="40">
        <v>3176</v>
      </c>
      <c r="F350" s="40">
        <v>27</v>
      </c>
      <c r="G350" s="40">
        <v>175</v>
      </c>
      <c r="H350" s="40">
        <v>19890</v>
      </c>
      <c r="I350" s="40">
        <v>2315</v>
      </c>
      <c r="J350" s="40">
        <v>8</v>
      </c>
    </row>
    <row r="351" spans="1:10">
      <c r="A351" s="1" t="s">
        <v>18</v>
      </c>
      <c r="B351" s="35">
        <v>46056</v>
      </c>
      <c r="C351" s="5">
        <f>COUNTIF(B$320:B351,B351)</f>
        <v>2</v>
      </c>
      <c r="D351" s="36">
        <v>605200</v>
      </c>
      <c r="E351" s="37">
        <v>4862</v>
      </c>
      <c r="F351" s="37">
        <v>33</v>
      </c>
      <c r="G351" s="37">
        <v>273</v>
      </c>
      <c r="H351" s="37">
        <v>30163</v>
      </c>
      <c r="I351" s="37">
        <v>3374</v>
      </c>
      <c r="J351" s="37">
        <v>10</v>
      </c>
    </row>
    <row r="352" spans="1:10">
      <c r="A352" s="1" t="s">
        <v>18</v>
      </c>
      <c r="B352" s="38">
        <v>46057</v>
      </c>
      <c r="C352" s="5">
        <f>COUNTIF(B$320:B352,B352)</f>
        <v>1</v>
      </c>
      <c r="D352" s="39">
        <v>276700</v>
      </c>
      <c r="E352" s="40">
        <v>4603</v>
      </c>
      <c r="F352" s="40">
        <v>33</v>
      </c>
      <c r="G352" s="40">
        <v>224</v>
      </c>
      <c r="H352" s="40">
        <v>23697</v>
      </c>
      <c r="I352" s="40">
        <v>3125</v>
      </c>
      <c r="J352" s="40">
        <v>9</v>
      </c>
    </row>
    <row r="353" spans="1:10">
      <c r="A353" s="1" t="s">
        <v>18</v>
      </c>
      <c r="B353" s="35">
        <v>46057</v>
      </c>
      <c r="C353" s="5">
        <f>COUNTIF(B$320:B353,B353)</f>
        <v>2</v>
      </c>
      <c r="D353" s="36">
        <v>322900</v>
      </c>
      <c r="E353" s="37">
        <v>5099</v>
      </c>
      <c r="F353" s="37">
        <v>34</v>
      </c>
      <c r="G353" s="37">
        <v>180</v>
      </c>
      <c r="H353" s="37">
        <v>28319</v>
      </c>
      <c r="I353" s="37">
        <v>3389</v>
      </c>
      <c r="J353" s="37">
        <v>12</v>
      </c>
    </row>
    <row r="354" spans="1:10">
      <c r="A354" s="1" t="s">
        <v>18</v>
      </c>
      <c r="B354" s="38">
        <v>46058</v>
      </c>
      <c r="C354" s="5">
        <f>COUNTIF(B$320:B354,B354)</f>
        <v>1</v>
      </c>
      <c r="D354" s="39">
        <v>445900</v>
      </c>
      <c r="E354" s="40">
        <v>5155</v>
      </c>
      <c r="F354" s="40">
        <v>28</v>
      </c>
      <c r="G354" s="40">
        <v>140</v>
      </c>
      <c r="H354" s="40">
        <v>23087</v>
      </c>
      <c r="I354" s="40">
        <v>2643</v>
      </c>
      <c r="J354" s="40">
        <v>11</v>
      </c>
    </row>
    <row r="355" spans="1:10">
      <c r="A355" s="1" t="s">
        <v>18</v>
      </c>
      <c r="B355" s="35">
        <v>46060</v>
      </c>
      <c r="C355" s="5">
        <f>COUNTIF(B$320:B355,B355)</f>
        <v>1</v>
      </c>
      <c r="D355" s="36">
        <v>388100</v>
      </c>
      <c r="E355" s="37">
        <v>4445</v>
      </c>
      <c r="F355" s="37">
        <v>31</v>
      </c>
      <c r="G355" s="37">
        <v>367</v>
      </c>
      <c r="H355" s="37">
        <v>34002</v>
      </c>
      <c r="I355" s="37">
        <v>2919</v>
      </c>
      <c r="J355" s="37">
        <v>8</v>
      </c>
    </row>
    <row r="356" spans="1:10">
      <c r="A356" s="1" t="s">
        <v>18</v>
      </c>
      <c r="B356" s="38">
        <v>46060</v>
      </c>
      <c r="C356" s="5">
        <f>COUNTIF(B$320:B356,B356)</f>
        <v>2</v>
      </c>
      <c r="D356" s="39">
        <v>507300</v>
      </c>
      <c r="E356" s="40">
        <v>5576</v>
      </c>
      <c r="F356" s="40">
        <v>31</v>
      </c>
      <c r="G356" s="40">
        <v>237</v>
      </c>
      <c r="H356" s="40">
        <v>28960</v>
      </c>
      <c r="I356" s="40">
        <v>3106</v>
      </c>
      <c r="J356" s="40">
        <v>12</v>
      </c>
    </row>
    <row r="357" spans="1:10">
      <c r="A357" s="1" t="s">
        <v>18</v>
      </c>
      <c r="B357" s="35">
        <v>46061</v>
      </c>
      <c r="C357" s="5">
        <f>COUNTIF(B$320:B357,B357)</f>
        <v>1</v>
      </c>
      <c r="D357" s="36">
        <v>631900</v>
      </c>
      <c r="E357" s="37">
        <v>6489</v>
      </c>
      <c r="F357" s="37">
        <v>32</v>
      </c>
      <c r="G357" s="37">
        <v>372</v>
      </c>
      <c r="H357" s="37">
        <v>33209</v>
      </c>
      <c r="I357" s="37">
        <v>4013</v>
      </c>
      <c r="J357" s="37">
        <v>9</v>
      </c>
    </row>
    <row r="358" spans="1:10">
      <c r="A358" s="1" t="s">
        <v>18</v>
      </c>
      <c r="B358" s="38">
        <v>46061</v>
      </c>
      <c r="C358" s="5">
        <f>COUNTIF(B$320:B358,B358)</f>
        <v>2</v>
      </c>
      <c r="D358" s="39">
        <v>468100</v>
      </c>
      <c r="E358" s="40">
        <v>5643</v>
      </c>
      <c r="F358" s="40">
        <v>32</v>
      </c>
      <c r="G358" s="40">
        <v>248</v>
      </c>
      <c r="H358" s="40">
        <v>32756</v>
      </c>
      <c r="I358" s="40">
        <v>3624</v>
      </c>
      <c r="J358" s="40">
        <v>11</v>
      </c>
    </row>
    <row r="359" spans="1:10">
      <c r="A359" s="1" t="s">
        <v>18</v>
      </c>
      <c r="B359" s="35">
        <v>46062</v>
      </c>
      <c r="C359" s="5">
        <f>COUNTIF(B$320:B359,B359)</f>
        <v>1</v>
      </c>
      <c r="D359" s="36">
        <v>457900</v>
      </c>
      <c r="E359" s="37">
        <v>3894</v>
      </c>
      <c r="F359" s="37">
        <v>31</v>
      </c>
      <c r="G359" s="37">
        <v>235</v>
      </c>
      <c r="H359" s="37">
        <v>26607</v>
      </c>
      <c r="I359" s="37">
        <v>3003</v>
      </c>
      <c r="J359" s="37">
        <v>10</v>
      </c>
    </row>
    <row r="360" spans="1:10">
      <c r="A360" s="1" t="s">
        <v>18</v>
      </c>
      <c r="B360" s="38">
        <v>46062</v>
      </c>
      <c r="C360" s="5">
        <f>COUNTIF(B$320:B360,B360)</f>
        <v>2</v>
      </c>
      <c r="D360" s="39">
        <v>461900</v>
      </c>
      <c r="E360" s="40">
        <v>5291</v>
      </c>
      <c r="F360" s="40">
        <v>33</v>
      </c>
      <c r="G360" s="40">
        <v>208</v>
      </c>
      <c r="H360" s="40">
        <v>36389</v>
      </c>
      <c r="I360" s="40">
        <v>3917</v>
      </c>
      <c r="J360" s="40">
        <v>11</v>
      </c>
    </row>
    <row r="361" spans="1:10">
      <c r="A361" s="1" t="s">
        <v>18</v>
      </c>
      <c r="B361" s="35">
        <v>46063</v>
      </c>
      <c r="C361" s="5">
        <f>COUNTIF(B$320:B361,B361)</f>
        <v>1</v>
      </c>
      <c r="D361" s="36">
        <v>376400</v>
      </c>
      <c r="E361" s="37">
        <v>5551</v>
      </c>
      <c r="F361" s="37">
        <v>32</v>
      </c>
      <c r="G361" s="37">
        <v>209</v>
      </c>
      <c r="H361" s="37">
        <v>35809</v>
      </c>
      <c r="I361" s="37">
        <v>3466</v>
      </c>
      <c r="J361" s="37">
        <v>9</v>
      </c>
    </row>
    <row r="362" spans="1:10">
      <c r="A362" s="1" t="s">
        <v>18</v>
      </c>
      <c r="B362" s="38">
        <v>46063</v>
      </c>
      <c r="C362" s="5">
        <f>COUNTIF(B$320:B362,B362)</f>
        <v>2</v>
      </c>
      <c r="D362" s="39">
        <v>355300</v>
      </c>
      <c r="E362" s="40">
        <v>5688</v>
      </c>
      <c r="F362" s="40">
        <v>27</v>
      </c>
      <c r="G362" s="40">
        <v>133</v>
      </c>
      <c r="H362" s="40">
        <v>26624</v>
      </c>
      <c r="I362" s="40">
        <v>2900</v>
      </c>
      <c r="J362" s="40">
        <v>10</v>
      </c>
    </row>
    <row r="363" spans="1:10">
      <c r="A363" s="1" t="s">
        <v>18</v>
      </c>
      <c r="B363" s="35">
        <v>46064</v>
      </c>
      <c r="C363" s="5">
        <f>COUNTIF(B$320:B363,B363)</f>
        <v>1</v>
      </c>
      <c r="D363" s="36">
        <v>267600</v>
      </c>
      <c r="E363" s="37">
        <v>2896</v>
      </c>
      <c r="F363" s="37">
        <v>23</v>
      </c>
      <c r="G363" s="37">
        <v>141</v>
      </c>
      <c r="H363" s="37">
        <v>24829</v>
      </c>
      <c r="I363" s="37">
        <v>2303</v>
      </c>
      <c r="J363" s="37">
        <v>7</v>
      </c>
    </row>
    <row r="364" spans="1:10">
      <c r="A364" s="1" t="s">
        <v>18</v>
      </c>
      <c r="B364" s="38">
        <v>46064</v>
      </c>
      <c r="C364" s="5">
        <f>COUNTIF(B$320:B364,B364)</f>
        <v>2</v>
      </c>
      <c r="D364" s="39">
        <v>639200</v>
      </c>
      <c r="E364" s="40">
        <v>3581</v>
      </c>
      <c r="F364" s="40">
        <v>27</v>
      </c>
      <c r="G364" s="40">
        <v>121</v>
      </c>
      <c r="H364" s="40">
        <v>25189</v>
      </c>
      <c r="I364" s="40">
        <v>2933</v>
      </c>
      <c r="J364" s="40">
        <v>11</v>
      </c>
    </row>
    <row r="365" spans="1:10">
      <c r="A365" s="1" t="s">
        <v>18</v>
      </c>
      <c r="B365" s="35">
        <v>46065</v>
      </c>
      <c r="C365" s="5">
        <f>COUNTIF(B$320:B365,B365)</f>
        <v>1</v>
      </c>
      <c r="D365" s="36">
        <v>1000000</v>
      </c>
      <c r="E365" s="37">
        <v>4133</v>
      </c>
      <c r="F365" s="37">
        <v>27</v>
      </c>
      <c r="G365" s="37">
        <v>232</v>
      </c>
      <c r="H365" s="37">
        <v>32795</v>
      </c>
      <c r="I365" s="37">
        <v>3315</v>
      </c>
      <c r="J365" s="37">
        <v>7</v>
      </c>
    </row>
    <row r="366" spans="1:10">
      <c r="A366" s="1" t="s">
        <v>18</v>
      </c>
      <c r="B366" s="38">
        <v>46065</v>
      </c>
      <c r="C366" s="5">
        <f>COUNTIF(B$320:B366,B366)</f>
        <v>2</v>
      </c>
      <c r="D366" s="39">
        <v>931300</v>
      </c>
      <c r="E366" s="40">
        <v>4124</v>
      </c>
      <c r="F366" s="40">
        <v>27</v>
      </c>
      <c r="G366" s="40">
        <v>159</v>
      </c>
      <c r="H366" s="40">
        <v>26899</v>
      </c>
      <c r="I366" s="40">
        <v>2998</v>
      </c>
      <c r="J366" s="40">
        <v>10</v>
      </c>
    </row>
    <row r="367" spans="1:10">
      <c r="A367" s="1" t="s">
        <v>18</v>
      </c>
      <c r="B367" s="35">
        <v>46068</v>
      </c>
      <c r="C367" s="5">
        <f>COUNTIF(B$320:B367,B367)</f>
        <v>1</v>
      </c>
      <c r="D367" s="36">
        <v>577700</v>
      </c>
      <c r="E367" s="37">
        <v>4833</v>
      </c>
      <c r="F367" s="37">
        <v>25</v>
      </c>
      <c r="G367" s="37">
        <v>170</v>
      </c>
      <c r="H367" s="37">
        <v>36874</v>
      </c>
      <c r="I367" s="37">
        <v>2905</v>
      </c>
      <c r="J367" s="37">
        <v>8</v>
      </c>
    </row>
    <row r="368" spans="1:10">
      <c r="A368" s="1" t="s">
        <v>18</v>
      </c>
      <c r="B368" s="38">
        <v>46069</v>
      </c>
      <c r="C368" s="5">
        <f>COUNTIF(B$320:B368,B368)</f>
        <v>1</v>
      </c>
      <c r="D368" s="39">
        <v>322100</v>
      </c>
      <c r="E368" s="40">
        <v>2241</v>
      </c>
      <c r="F368" s="40">
        <v>8</v>
      </c>
      <c r="G368" s="40">
        <v>207</v>
      </c>
      <c r="H368" s="40">
        <v>41170</v>
      </c>
      <c r="I368" s="40">
        <v>1688</v>
      </c>
      <c r="J368" s="40">
        <v>3</v>
      </c>
    </row>
    <row r="369" spans="1:10">
      <c r="A369" s="1" t="s">
        <v>18</v>
      </c>
      <c r="B369" s="35">
        <v>46070</v>
      </c>
      <c r="C369" s="5">
        <f>COUNTIF(B$320:B369,B369)</f>
        <v>1</v>
      </c>
      <c r="D369" s="36">
        <v>340700</v>
      </c>
      <c r="E369" s="37">
        <v>2921</v>
      </c>
      <c r="F369" s="37">
        <v>18</v>
      </c>
      <c r="G369" s="37">
        <v>246</v>
      </c>
      <c r="H369" s="37">
        <v>26930</v>
      </c>
      <c r="I369" s="37">
        <v>2371</v>
      </c>
      <c r="J369" s="37">
        <v>7</v>
      </c>
    </row>
    <row r="370" spans="1:10">
      <c r="A370" s="1" t="s">
        <v>18</v>
      </c>
      <c r="B370" s="38">
        <v>46073</v>
      </c>
      <c r="C370" s="5">
        <f>COUNTIF(B$320:B370,B370)</f>
        <v>1</v>
      </c>
      <c r="D370" s="39">
        <v>440000</v>
      </c>
      <c r="E370" s="40">
        <v>3246</v>
      </c>
      <c r="F370" s="40">
        <v>22</v>
      </c>
      <c r="G370" s="40">
        <v>219</v>
      </c>
      <c r="H370" s="40">
        <v>25466</v>
      </c>
      <c r="I370" s="40">
        <v>2355</v>
      </c>
      <c r="J370" s="40">
        <v>10</v>
      </c>
    </row>
    <row r="371" spans="1:10">
      <c r="A371" s="1" t="s">
        <v>18</v>
      </c>
      <c r="B371" s="35">
        <v>46074</v>
      </c>
      <c r="C371" s="5">
        <f>COUNTIF(B$320:B371,B371)</f>
        <v>1</v>
      </c>
      <c r="D371" s="36">
        <v>316100</v>
      </c>
      <c r="E371" s="37">
        <v>4151</v>
      </c>
      <c r="F371" s="37">
        <v>25</v>
      </c>
      <c r="G371" s="37">
        <v>227</v>
      </c>
      <c r="H371" s="37">
        <v>30035</v>
      </c>
      <c r="I371" s="37">
        <v>2627</v>
      </c>
      <c r="J371" s="37">
        <v>9</v>
      </c>
    </row>
    <row r="372" spans="1:10">
      <c r="A372" s="1" t="s">
        <v>18</v>
      </c>
      <c r="B372" s="38">
        <v>46075</v>
      </c>
      <c r="C372" s="5">
        <f>COUNTIF(B$320:B372,B372)</f>
        <v>1</v>
      </c>
      <c r="D372" s="39">
        <v>532000</v>
      </c>
      <c r="E372" s="40">
        <v>5135</v>
      </c>
      <c r="F372" s="40">
        <v>31</v>
      </c>
      <c r="G372" s="40">
        <v>209</v>
      </c>
      <c r="H372" s="40">
        <v>30186</v>
      </c>
      <c r="I372" s="40">
        <v>3837</v>
      </c>
      <c r="J372" s="40">
        <v>12</v>
      </c>
    </row>
    <row r="373" spans="1:10">
      <c r="A373" s="1" t="s">
        <v>18</v>
      </c>
      <c r="B373" s="35">
        <v>46076</v>
      </c>
      <c r="C373" s="5">
        <f>COUNTIF(B$320:B373,B373)</f>
        <v>1</v>
      </c>
      <c r="D373" s="36">
        <v>336100</v>
      </c>
      <c r="E373" s="37">
        <v>3099</v>
      </c>
      <c r="F373" s="37">
        <v>30</v>
      </c>
      <c r="G373" s="37">
        <v>213</v>
      </c>
      <c r="H373" s="37">
        <v>25190</v>
      </c>
      <c r="I373" s="37">
        <v>3556</v>
      </c>
      <c r="J373" s="37">
        <v>9</v>
      </c>
    </row>
    <row r="374" spans="1:10">
      <c r="A374" s="1" t="s">
        <v>18</v>
      </c>
      <c r="B374" s="38">
        <v>46076</v>
      </c>
      <c r="C374" s="5">
        <f>COUNTIF(B$320:B374,B374)</f>
        <v>2</v>
      </c>
      <c r="D374" s="39">
        <v>642900</v>
      </c>
      <c r="E374" s="40">
        <v>4426</v>
      </c>
      <c r="F374" s="40">
        <v>36</v>
      </c>
      <c r="G374" s="40">
        <v>193</v>
      </c>
      <c r="H374" s="40">
        <v>32127</v>
      </c>
      <c r="I374" s="40">
        <v>4337</v>
      </c>
      <c r="J374" s="40">
        <v>13</v>
      </c>
    </row>
    <row r="375" spans="1:10">
      <c r="A375" s="1" t="s">
        <v>18</v>
      </c>
      <c r="B375" s="35">
        <v>46077</v>
      </c>
      <c r="C375" s="5">
        <f>COUNTIF(B$320:B375,B375)</f>
        <v>1</v>
      </c>
      <c r="D375" s="36">
        <v>1000000</v>
      </c>
      <c r="E375" s="37">
        <v>3173</v>
      </c>
      <c r="F375" s="37">
        <v>36</v>
      </c>
      <c r="G375" s="37">
        <v>327</v>
      </c>
      <c r="H375" s="37">
        <v>27455</v>
      </c>
      <c r="I375" s="37">
        <v>3555</v>
      </c>
      <c r="J375" s="37">
        <v>11</v>
      </c>
    </row>
    <row r="376" spans="1:10">
      <c r="A376" s="1" t="s">
        <v>18</v>
      </c>
      <c r="B376" s="38">
        <v>46077</v>
      </c>
      <c r="C376" s="5">
        <f>COUNTIF(B$320:B376,B376)</f>
        <v>2</v>
      </c>
      <c r="D376" s="39">
        <v>710200</v>
      </c>
      <c r="E376" s="40">
        <v>5382</v>
      </c>
      <c r="F376" s="40">
        <v>31</v>
      </c>
      <c r="G376" s="40">
        <v>150</v>
      </c>
      <c r="H376" s="40">
        <v>24582</v>
      </c>
      <c r="I376" s="40">
        <v>3494</v>
      </c>
      <c r="J376" s="40">
        <v>15</v>
      </c>
    </row>
    <row r="377" spans="1:10">
      <c r="A377" s="1" t="s">
        <v>18</v>
      </c>
      <c r="B377" s="35">
        <v>46078</v>
      </c>
      <c r="C377" s="5">
        <f>COUNTIF(B$320:B377,B377)</f>
        <v>1</v>
      </c>
      <c r="D377" s="36">
        <v>488600</v>
      </c>
      <c r="E377" s="37">
        <v>3222</v>
      </c>
      <c r="F377" s="37">
        <v>34</v>
      </c>
      <c r="G377" s="37">
        <v>140</v>
      </c>
      <c r="H377" s="37">
        <v>22957</v>
      </c>
      <c r="I377" s="37">
        <v>3673</v>
      </c>
      <c r="J377" s="37">
        <v>13</v>
      </c>
    </row>
    <row r="378" spans="1:10">
      <c r="A378" s="1" t="s">
        <v>18</v>
      </c>
      <c r="B378" s="38">
        <v>46078</v>
      </c>
      <c r="C378" s="5">
        <f>COUNTIF(B$320:B378,B378)</f>
        <v>2</v>
      </c>
      <c r="D378" s="39">
        <v>416800</v>
      </c>
      <c r="E378" s="40">
        <v>5423</v>
      </c>
      <c r="F378" s="40">
        <v>30</v>
      </c>
      <c r="G378" s="40">
        <v>124</v>
      </c>
      <c r="H378" s="40">
        <v>25594</v>
      </c>
      <c r="I378" s="40">
        <v>3964</v>
      </c>
      <c r="J378" s="40">
        <v>13</v>
      </c>
    </row>
    <row r="379" spans="1:10">
      <c r="A379" s="1" t="s">
        <v>18</v>
      </c>
      <c r="B379" s="35">
        <v>46079</v>
      </c>
      <c r="C379" s="5">
        <f>COUNTIF(B$320:B379,B379)</f>
        <v>1</v>
      </c>
      <c r="D379" s="36">
        <v>518400</v>
      </c>
      <c r="E379" s="37">
        <v>4036</v>
      </c>
      <c r="F379" s="37">
        <v>34</v>
      </c>
      <c r="G379" s="37">
        <v>173</v>
      </c>
      <c r="H379" s="37">
        <v>23152</v>
      </c>
      <c r="I379" s="37">
        <v>3872</v>
      </c>
      <c r="J379" s="37">
        <v>15</v>
      </c>
    </row>
    <row r="380" spans="1:10">
      <c r="A380" s="1" t="s">
        <v>18</v>
      </c>
      <c r="B380" s="38">
        <v>46079</v>
      </c>
      <c r="C380" s="5">
        <f>COUNTIF(B$320:B380,B380)</f>
        <v>2</v>
      </c>
      <c r="D380" s="39">
        <v>713200</v>
      </c>
      <c r="E380" s="40">
        <v>2408</v>
      </c>
      <c r="F380" s="40">
        <v>21</v>
      </c>
      <c r="G380" s="40">
        <v>98</v>
      </c>
      <c r="H380" s="40">
        <v>14534</v>
      </c>
      <c r="I380" s="40">
        <v>4636</v>
      </c>
      <c r="J380" s="40">
        <v>12</v>
      </c>
    </row>
    <row r="381" spans="1:10">
      <c r="A381" s="1" t="s">
        <v>18</v>
      </c>
      <c r="B381" s="35">
        <v>46081</v>
      </c>
      <c r="C381" s="5">
        <f>COUNTIF(B$320:B381,B381)</f>
        <v>1</v>
      </c>
      <c r="D381" s="36">
        <v>1200000</v>
      </c>
      <c r="E381" s="37">
        <v>5257</v>
      </c>
      <c r="F381" s="37">
        <v>31</v>
      </c>
      <c r="G381" s="37">
        <v>267</v>
      </c>
      <c r="H381" s="37">
        <v>28397</v>
      </c>
      <c r="I381" s="37">
        <v>3788</v>
      </c>
      <c r="J381" s="37">
        <v>11</v>
      </c>
    </row>
    <row r="382" spans="1:10">
      <c r="A382" s="1" t="s">
        <v>18</v>
      </c>
      <c r="B382" s="38">
        <v>46081</v>
      </c>
      <c r="C382" s="5">
        <f>COUNTIF(B$320:B382,B382)</f>
        <v>2</v>
      </c>
      <c r="D382" s="39">
        <v>2000000</v>
      </c>
      <c r="E382" s="40">
        <v>9328</v>
      </c>
      <c r="F382" s="40">
        <v>38</v>
      </c>
      <c r="G382" s="40">
        <v>156</v>
      </c>
      <c r="H382" s="40">
        <v>25023</v>
      </c>
      <c r="I382" s="40">
        <v>4589</v>
      </c>
      <c r="J382" s="40">
        <v>22</v>
      </c>
    </row>
    <row r="383" spans="1:10">
      <c r="A383" s="1" t="s">
        <v>18</v>
      </c>
      <c r="B383" s="35">
        <v>46082</v>
      </c>
      <c r="C383" s="5">
        <f>COUNTIF(B$320:B383,B383)</f>
        <v>1</v>
      </c>
      <c r="D383" s="36">
        <v>833330</v>
      </c>
      <c r="E383" s="37">
        <v>4644</v>
      </c>
      <c r="F383" s="37">
        <v>31</v>
      </c>
      <c r="G383" s="37">
        <v>89</v>
      </c>
      <c r="H383" s="37">
        <v>15312</v>
      </c>
      <c r="I383" s="37">
        <v>2990</v>
      </c>
      <c r="J383" s="37">
        <v>25</v>
      </c>
    </row>
    <row r="384" spans="1:10">
      <c r="A384" s="1" t="s">
        <v>18</v>
      </c>
      <c r="B384" s="38">
        <v>46082</v>
      </c>
      <c r="C384" s="5">
        <f>COUNTIF(B$320:B384,B384)</f>
        <v>2</v>
      </c>
      <c r="D384" s="39">
        <v>849300</v>
      </c>
      <c r="E384" s="40">
        <v>4366</v>
      </c>
      <c r="F384" s="40">
        <v>32</v>
      </c>
      <c r="G384" s="40">
        <v>71</v>
      </c>
      <c r="H384" s="40">
        <v>18135</v>
      </c>
      <c r="I384" s="40">
        <v>3439</v>
      </c>
      <c r="J384" s="40">
        <v>27</v>
      </c>
    </row>
    <row r="385" spans="1:10">
      <c r="A385" s="1" t="s">
        <v>18</v>
      </c>
      <c r="B385" s="35">
        <v>46083</v>
      </c>
      <c r="C385" s="5">
        <f>COUNTIF(B$320:B385,B385)</f>
        <v>1</v>
      </c>
      <c r="D385" s="36">
        <v>544100</v>
      </c>
      <c r="E385" s="37">
        <v>3196</v>
      </c>
      <c r="F385" s="37">
        <v>30</v>
      </c>
      <c r="G385" s="37">
        <v>101</v>
      </c>
      <c r="H385" s="37">
        <v>21455</v>
      </c>
      <c r="I385" s="37">
        <v>3152</v>
      </c>
      <c r="J385" s="37">
        <v>12</v>
      </c>
    </row>
    <row r="386" spans="1:10">
      <c r="A386" s="1" t="s">
        <v>18</v>
      </c>
      <c r="B386" s="38">
        <v>46084</v>
      </c>
      <c r="C386" s="5">
        <f>COUNTIF(B$320:B386,B386)</f>
        <v>1</v>
      </c>
      <c r="D386" s="39">
        <v>550500</v>
      </c>
      <c r="E386" s="40">
        <v>3736</v>
      </c>
      <c r="F386" s="40">
        <v>32</v>
      </c>
      <c r="G386" s="40">
        <v>100</v>
      </c>
      <c r="H386" s="40">
        <v>19656</v>
      </c>
      <c r="I386" s="40">
        <v>2978</v>
      </c>
      <c r="J386" s="40">
        <v>15</v>
      </c>
    </row>
    <row r="387" spans="1:10">
      <c r="A387" s="1" t="s">
        <v>18</v>
      </c>
      <c r="B387" s="35">
        <v>46084</v>
      </c>
      <c r="C387" s="5">
        <f>COUNTIF(B$320:B387,B387)</f>
        <v>2</v>
      </c>
      <c r="D387" s="36">
        <v>570600</v>
      </c>
      <c r="E387" s="37">
        <v>4188</v>
      </c>
      <c r="F387" s="37">
        <v>31</v>
      </c>
      <c r="G387" s="37">
        <v>115</v>
      </c>
      <c r="H387" s="37">
        <v>26078</v>
      </c>
      <c r="I387" s="37">
        <v>3508</v>
      </c>
      <c r="J387" s="37">
        <v>14</v>
      </c>
    </row>
    <row r="388" spans="1:10">
      <c r="A388" s="1" t="s">
        <v>18</v>
      </c>
      <c r="B388" s="38">
        <v>46085</v>
      </c>
      <c r="C388" s="5">
        <f>COUNTIF(B$320:B388,B388)</f>
        <v>1</v>
      </c>
      <c r="D388" s="39">
        <v>611700</v>
      </c>
      <c r="E388" s="40">
        <v>4257</v>
      </c>
      <c r="F388" s="40">
        <v>34</v>
      </c>
      <c r="G388" s="40">
        <v>112</v>
      </c>
      <c r="H388" s="40">
        <v>19474</v>
      </c>
      <c r="I388" s="40">
        <v>3297</v>
      </c>
      <c r="J388" s="40">
        <v>16</v>
      </c>
    </row>
    <row r="389" spans="1:10">
      <c r="A389" s="1" t="s">
        <v>18</v>
      </c>
      <c r="B389" s="35">
        <v>46085</v>
      </c>
      <c r="C389" s="5">
        <f>COUNTIF(B$320:B389,B389)</f>
        <v>2</v>
      </c>
      <c r="D389" s="36">
        <v>2000000</v>
      </c>
      <c r="E389" s="37">
        <v>5600</v>
      </c>
      <c r="F389" s="37">
        <v>35</v>
      </c>
      <c r="G389" s="37">
        <v>135</v>
      </c>
      <c r="H389" s="37">
        <v>23867</v>
      </c>
      <c r="I389" s="37">
        <v>3305</v>
      </c>
      <c r="J389" s="37">
        <v>19</v>
      </c>
    </row>
    <row r="390" spans="1:10">
      <c r="A390" s="1" t="s">
        <v>18</v>
      </c>
      <c r="B390" s="38">
        <v>46088</v>
      </c>
      <c r="C390" s="5">
        <f>COUNTIF(B$320:B390,B390)</f>
        <v>1</v>
      </c>
      <c r="D390" s="39">
        <v>720900</v>
      </c>
      <c r="E390" s="40">
        <v>3336</v>
      </c>
      <c r="F390" s="40">
        <v>34</v>
      </c>
      <c r="G390" s="40">
        <v>140</v>
      </c>
      <c r="H390" s="40">
        <v>23153</v>
      </c>
      <c r="I390" s="40">
        <v>3445</v>
      </c>
      <c r="J390" s="40">
        <v>14</v>
      </c>
    </row>
    <row r="391" spans="1:10">
      <c r="A391" s="1" t="s">
        <v>18</v>
      </c>
      <c r="B391" s="35">
        <v>46088</v>
      </c>
      <c r="C391" s="5">
        <f>COUNTIF(B$320:B391,B391)</f>
        <v>2</v>
      </c>
      <c r="D391" s="36">
        <v>1000000</v>
      </c>
      <c r="E391" s="37">
        <v>6622</v>
      </c>
      <c r="F391" s="37">
        <v>38</v>
      </c>
      <c r="G391" s="37">
        <v>135</v>
      </c>
      <c r="H391" s="37">
        <v>28269</v>
      </c>
      <c r="I391" s="37">
        <v>4675</v>
      </c>
      <c r="J391" s="37">
        <v>20</v>
      </c>
    </row>
    <row r="392" spans="1:10">
      <c r="A392" s="1" t="s">
        <v>18</v>
      </c>
      <c r="B392" s="38">
        <v>46089</v>
      </c>
      <c r="C392" s="5">
        <f>COUNTIF(B$320:B392,B392)</f>
        <v>1</v>
      </c>
      <c r="D392" s="39">
        <v>751900</v>
      </c>
      <c r="E392" s="40">
        <v>5110</v>
      </c>
      <c r="F392" s="40">
        <v>34</v>
      </c>
      <c r="G392" s="40">
        <v>156</v>
      </c>
      <c r="H392" s="40">
        <v>28467</v>
      </c>
      <c r="I392" s="40">
        <v>3789</v>
      </c>
      <c r="J392" s="40">
        <v>14</v>
      </c>
    </row>
    <row r="393" spans="1:10">
      <c r="A393" s="1" t="s">
        <v>18</v>
      </c>
      <c r="B393" s="35">
        <v>46089</v>
      </c>
      <c r="C393" s="5">
        <f>COUNTIF(B$320:B393,B393)</f>
        <v>2</v>
      </c>
      <c r="D393" s="36">
        <v>1300000</v>
      </c>
      <c r="E393" s="37">
        <v>9065</v>
      </c>
      <c r="F393" s="37">
        <v>35</v>
      </c>
      <c r="G393" s="37">
        <v>128</v>
      </c>
      <c r="H393" s="37">
        <v>26685</v>
      </c>
      <c r="I393" s="37">
        <v>4118</v>
      </c>
      <c r="J393" s="37">
        <v>20</v>
      </c>
    </row>
    <row r="394" spans="1:10">
      <c r="A394" s="1" t="s">
        <v>18</v>
      </c>
      <c r="B394" s="38">
        <v>46090</v>
      </c>
      <c r="C394" s="5">
        <f>COUNTIF(B$320:B394,B394)</f>
        <v>1</v>
      </c>
      <c r="D394" s="39">
        <v>518600</v>
      </c>
      <c r="E394" s="40">
        <v>2881</v>
      </c>
      <c r="F394" s="40">
        <v>32</v>
      </c>
      <c r="G394" s="40">
        <v>76</v>
      </c>
      <c r="H394" s="40">
        <v>15564</v>
      </c>
      <c r="I394" s="40">
        <v>2692</v>
      </c>
      <c r="J394" s="40">
        <v>16</v>
      </c>
    </row>
    <row r="395" spans="1:10">
      <c r="A395" s="1" t="s">
        <v>18</v>
      </c>
      <c r="B395" s="35">
        <v>46090</v>
      </c>
      <c r="C395" s="5">
        <f>COUNTIF(B$320:B395,B395)</f>
        <v>2</v>
      </c>
      <c r="D395" s="36">
        <v>883000</v>
      </c>
      <c r="E395" s="37">
        <v>6642</v>
      </c>
      <c r="F395" s="37">
        <v>34</v>
      </c>
      <c r="G395" s="37">
        <v>197</v>
      </c>
      <c r="H395" s="37">
        <v>37501</v>
      </c>
      <c r="I395" s="37">
        <v>4678</v>
      </c>
      <c r="J395" s="37">
        <v>17</v>
      </c>
    </row>
    <row r="396" spans="1:10">
      <c r="A396" s="1" t="s">
        <v>18</v>
      </c>
      <c r="B396" s="38">
        <v>46091</v>
      </c>
      <c r="C396" s="5">
        <f>COUNTIF(B$320:B396,B396)</f>
        <v>1</v>
      </c>
      <c r="D396" s="39">
        <v>1100000</v>
      </c>
      <c r="E396" s="40">
        <v>4922</v>
      </c>
      <c r="F396" s="40">
        <v>34</v>
      </c>
      <c r="G396" s="40">
        <v>94</v>
      </c>
      <c r="H396" s="40">
        <v>20578</v>
      </c>
      <c r="I396" s="40">
        <v>2940</v>
      </c>
      <c r="J396" s="40">
        <v>15</v>
      </c>
    </row>
    <row r="397" spans="1:10">
      <c r="A397" s="1" t="s">
        <v>18</v>
      </c>
      <c r="B397" s="35">
        <v>46091</v>
      </c>
      <c r="C397" s="5">
        <f>COUNTIF(B$320:B397,B397)</f>
        <v>2</v>
      </c>
      <c r="D397" s="36">
        <v>1200000</v>
      </c>
      <c r="E397" s="37">
        <v>5972</v>
      </c>
      <c r="F397" s="37">
        <v>34</v>
      </c>
      <c r="G397" s="37">
        <v>109</v>
      </c>
      <c r="H397" s="37">
        <v>26435</v>
      </c>
      <c r="I397" s="37">
        <v>4255</v>
      </c>
      <c r="J397" s="37">
        <v>15</v>
      </c>
    </row>
    <row r="398" spans="1:10">
      <c r="A398" s="1" t="s">
        <v>18</v>
      </c>
      <c r="B398" s="38">
        <v>46092</v>
      </c>
      <c r="C398" s="5">
        <f>COUNTIF(B$320:B398,B398)</f>
        <v>1</v>
      </c>
      <c r="D398" s="39">
        <v>676500</v>
      </c>
      <c r="E398" s="40">
        <v>3459</v>
      </c>
      <c r="F398" s="40">
        <v>31</v>
      </c>
      <c r="G398" s="40">
        <v>134</v>
      </c>
      <c r="H398" s="40">
        <v>22070</v>
      </c>
      <c r="I398" s="40">
        <v>2994</v>
      </c>
      <c r="J398" s="40">
        <v>13</v>
      </c>
    </row>
    <row r="399" spans="1:10">
      <c r="A399" s="1" t="s">
        <v>18</v>
      </c>
      <c r="B399" s="35">
        <v>46092</v>
      </c>
      <c r="C399" s="5">
        <f>COUNTIF(B$320:B399,B399)</f>
        <v>2</v>
      </c>
      <c r="D399" s="36">
        <v>828100</v>
      </c>
      <c r="E399" s="37">
        <v>6375</v>
      </c>
      <c r="F399" s="37">
        <v>38</v>
      </c>
      <c r="G399" s="37">
        <v>90</v>
      </c>
      <c r="H399" s="37">
        <v>25590</v>
      </c>
      <c r="I399" s="37">
        <v>4400</v>
      </c>
      <c r="J399" s="37">
        <v>19</v>
      </c>
    </row>
    <row r="400" spans="1:10">
      <c r="A400" s="1" t="s">
        <v>18</v>
      </c>
      <c r="B400" s="38">
        <v>46093</v>
      </c>
      <c r="C400" s="5">
        <f>COUNTIF(B$320:B400,B400)</f>
        <v>1</v>
      </c>
      <c r="D400" s="39">
        <v>650800</v>
      </c>
      <c r="E400" s="40">
        <v>4248</v>
      </c>
      <c r="F400" s="40">
        <v>36</v>
      </c>
      <c r="G400" s="40">
        <v>115</v>
      </c>
      <c r="H400" s="40">
        <v>23562</v>
      </c>
      <c r="I400" s="40">
        <v>3676</v>
      </c>
      <c r="J400" s="40">
        <v>15</v>
      </c>
    </row>
    <row r="401" spans="1:10">
      <c r="A401" s="1" t="s">
        <v>18</v>
      </c>
      <c r="B401" s="35">
        <v>46093</v>
      </c>
      <c r="C401" s="5">
        <f>COUNTIF(B$320:B401,B401)</f>
        <v>2</v>
      </c>
      <c r="D401" s="36">
        <v>1300000</v>
      </c>
      <c r="E401" s="37">
        <v>9133</v>
      </c>
      <c r="F401" s="37">
        <v>41</v>
      </c>
      <c r="G401" s="37">
        <v>116</v>
      </c>
      <c r="H401" s="37">
        <v>31416</v>
      </c>
      <c r="I401" s="37">
        <v>5464</v>
      </c>
      <c r="J401" s="37">
        <v>18</v>
      </c>
    </row>
    <row r="402" spans="1:10">
      <c r="A402" s="1" t="s">
        <v>18</v>
      </c>
      <c r="B402" s="38">
        <v>46095</v>
      </c>
      <c r="C402" s="5">
        <f>COUNTIF(B$320:B402,B402)</f>
        <v>1</v>
      </c>
      <c r="D402" s="39">
        <v>1100000</v>
      </c>
      <c r="E402" s="40">
        <v>5209</v>
      </c>
      <c r="F402" s="40">
        <v>33</v>
      </c>
      <c r="G402" s="40">
        <v>179</v>
      </c>
      <c r="H402" s="40">
        <v>27381</v>
      </c>
      <c r="I402" s="40">
        <v>3348</v>
      </c>
      <c r="J402" s="40">
        <v>14</v>
      </c>
    </row>
    <row r="403" spans="1:10">
      <c r="A403" s="1" t="s">
        <v>18</v>
      </c>
      <c r="B403" s="35">
        <v>46095</v>
      </c>
      <c r="C403" s="5">
        <f>COUNTIF(B$320:B403,B403)</f>
        <v>2</v>
      </c>
      <c r="D403" s="36">
        <v>802600</v>
      </c>
      <c r="E403" s="37">
        <v>7273</v>
      </c>
      <c r="F403" s="37">
        <v>35</v>
      </c>
      <c r="G403" s="37">
        <v>130</v>
      </c>
      <c r="H403" s="37">
        <v>29351</v>
      </c>
      <c r="I403" s="37">
        <v>3978</v>
      </c>
      <c r="J403" s="37">
        <v>20</v>
      </c>
    </row>
    <row r="404" spans="1:10">
      <c r="A404" s="1" t="s">
        <v>18</v>
      </c>
      <c r="B404" s="38">
        <v>46096</v>
      </c>
      <c r="C404" s="5">
        <f>COUNTIF(B$320:B404,B404)</f>
        <v>1</v>
      </c>
      <c r="D404" s="39">
        <v>604400</v>
      </c>
      <c r="E404" s="40">
        <v>5594</v>
      </c>
      <c r="F404" s="40">
        <v>32</v>
      </c>
      <c r="G404" s="40">
        <v>131</v>
      </c>
      <c r="H404" s="40">
        <v>33811</v>
      </c>
      <c r="I404" s="40">
        <v>3750</v>
      </c>
      <c r="J404" s="40">
        <v>11</v>
      </c>
    </row>
    <row r="405" spans="1:10">
      <c r="A405" s="1" t="s">
        <v>18</v>
      </c>
      <c r="B405" s="35">
        <v>46096</v>
      </c>
      <c r="C405" s="5">
        <f>COUNTIF(B$320:B405,B405)</f>
        <v>2</v>
      </c>
      <c r="D405" s="36">
        <v>1100000</v>
      </c>
      <c r="E405" s="37">
        <v>9800</v>
      </c>
      <c r="F405" s="37">
        <v>36</v>
      </c>
      <c r="G405" s="37">
        <v>154</v>
      </c>
      <c r="H405" s="37">
        <v>35072</v>
      </c>
      <c r="I405" s="37">
        <v>5520</v>
      </c>
      <c r="J405" s="37">
        <v>16</v>
      </c>
    </row>
    <row r="406" spans="1:10">
      <c r="A406" s="1" t="s">
        <v>18</v>
      </c>
      <c r="B406" s="38">
        <v>46097</v>
      </c>
      <c r="C406" s="5">
        <f>COUNTIF(B$320:B406,B406)</f>
        <v>1</v>
      </c>
      <c r="D406" s="39">
        <v>734600</v>
      </c>
      <c r="E406" s="40">
        <v>3404</v>
      </c>
      <c r="F406" s="40">
        <v>30</v>
      </c>
      <c r="G406" s="40">
        <v>99</v>
      </c>
      <c r="H406" s="40">
        <v>23257</v>
      </c>
      <c r="I406" s="40">
        <v>3034</v>
      </c>
      <c r="J406" s="40">
        <v>12</v>
      </c>
    </row>
    <row r="407" spans="1:10">
      <c r="A407" s="1" t="s">
        <v>18</v>
      </c>
      <c r="B407" s="35">
        <v>46097</v>
      </c>
      <c r="C407" s="5">
        <f>COUNTIF(B$320:B407,B407)</f>
        <v>2</v>
      </c>
      <c r="D407" s="36">
        <v>2100000</v>
      </c>
      <c r="E407" s="37">
        <v>8931</v>
      </c>
      <c r="F407" s="37">
        <v>34</v>
      </c>
      <c r="G407" s="37">
        <v>131</v>
      </c>
      <c r="H407" s="37">
        <v>32261</v>
      </c>
      <c r="I407" s="37">
        <v>5643</v>
      </c>
      <c r="J407" s="37">
        <v>19</v>
      </c>
    </row>
    <row r="408" spans="1:10">
      <c r="A408" s="1" t="s">
        <v>18</v>
      </c>
      <c r="B408" s="38">
        <v>46098</v>
      </c>
      <c r="C408" s="5">
        <f>COUNTIF(B$320:B408,B408)</f>
        <v>1</v>
      </c>
      <c r="D408" s="39">
        <v>637100</v>
      </c>
      <c r="E408" s="40">
        <v>3920</v>
      </c>
      <c r="F408" s="40">
        <v>34</v>
      </c>
      <c r="G408" s="40">
        <v>89</v>
      </c>
      <c r="H408" s="40">
        <v>21849</v>
      </c>
      <c r="I408" s="40">
        <v>3030</v>
      </c>
      <c r="J408" s="40">
        <v>14</v>
      </c>
    </row>
    <row r="409" spans="1:10">
      <c r="A409" s="1" t="s">
        <v>18</v>
      </c>
      <c r="B409" s="35">
        <v>46098</v>
      </c>
      <c r="C409" s="5">
        <f>COUNTIF(B$320:B409,B409)</f>
        <v>2</v>
      </c>
      <c r="D409" s="36">
        <v>1300000</v>
      </c>
      <c r="E409" s="37">
        <v>6783</v>
      </c>
      <c r="F409" s="37">
        <v>35</v>
      </c>
      <c r="G409" s="37">
        <v>80</v>
      </c>
      <c r="H409" s="37">
        <v>27673</v>
      </c>
      <c r="I409" s="37">
        <v>4151</v>
      </c>
      <c r="J409" s="37">
        <v>17</v>
      </c>
    </row>
    <row r="410" spans="1:10">
      <c r="A410" s="1" t="s">
        <v>18</v>
      </c>
      <c r="B410" s="38">
        <v>46099</v>
      </c>
      <c r="C410" s="5">
        <f>COUNTIF(B$320:B410,B410)</f>
        <v>1</v>
      </c>
      <c r="D410" s="39">
        <v>608700</v>
      </c>
      <c r="E410" s="40">
        <v>3650</v>
      </c>
      <c r="F410" s="40">
        <v>33</v>
      </c>
      <c r="G410" s="40">
        <v>63</v>
      </c>
      <c r="H410" s="40">
        <v>21185</v>
      </c>
      <c r="I410" s="40">
        <v>3053</v>
      </c>
      <c r="J410" s="40">
        <v>15</v>
      </c>
    </row>
    <row r="411" spans="1:10">
      <c r="A411" s="1" t="s">
        <v>18</v>
      </c>
      <c r="B411" s="35">
        <v>46099</v>
      </c>
      <c r="C411" s="5">
        <f>COUNTIF(B$320:B411,B411)</f>
        <v>2</v>
      </c>
      <c r="D411" s="36">
        <v>887700</v>
      </c>
      <c r="E411" s="37">
        <v>4604</v>
      </c>
      <c r="F411" s="37">
        <v>33</v>
      </c>
      <c r="G411" s="37">
        <v>62</v>
      </c>
      <c r="H411" s="37">
        <v>25143</v>
      </c>
      <c r="I411" s="37">
        <v>3785</v>
      </c>
      <c r="J411" s="37">
        <v>18</v>
      </c>
    </row>
    <row r="412" spans="1:10">
      <c r="A412" s="1" t="s">
        <v>18</v>
      </c>
      <c r="B412" s="38">
        <v>46100</v>
      </c>
      <c r="C412" s="5">
        <f>COUNTIF(B$320:B412,B412)</f>
        <v>1</v>
      </c>
      <c r="D412" s="39">
        <v>772300</v>
      </c>
      <c r="E412" s="40">
        <v>6904</v>
      </c>
      <c r="F412" s="40">
        <v>36</v>
      </c>
      <c r="G412" s="40">
        <v>83</v>
      </c>
      <c r="H412" s="40">
        <v>23192</v>
      </c>
      <c r="I412" s="40">
        <v>3546</v>
      </c>
      <c r="J412" s="40">
        <v>16</v>
      </c>
    </row>
    <row r="413" spans="1:10">
      <c r="A413" s="1" t="s">
        <v>18</v>
      </c>
      <c r="B413" s="35">
        <v>46100</v>
      </c>
      <c r="C413" s="5">
        <f>COUNTIF(B$320:B413,B413)</f>
        <v>2</v>
      </c>
      <c r="D413" s="36">
        <v>553400</v>
      </c>
      <c r="E413" s="37">
        <v>3728</v>
      </c>
      <c r="F413" s="37">
        <v>30</v>
      </c>
      <c r="G413" s="37">
        <v>62</v>
      </c>
      <c r="H413" s="37">
        <v>26398</v>
      </c>
      <c r="I413" s="37">
        <v>3178</v>
      </c>
      <c r="J413" s="37">
        <v>14</v>
      </c>
    </row>
    <row r="414" spans="1:10">
      <c r="A414" s="1" t="s">
        <v>18</v>
      </c>
      <c r="B414" s="38">
        <v>46102</v>
      </c>
      <c r="C414" s="5">
        <f>COUNTIF(B$320:B414,B414)</f>
        <v>1</v>
      </c>
      <c r="D414" s="39">
        <v>372200</v>
      </c>
      <c r="E414" s="40">
        <v>3376</v>
      </c>
      <c r="F414" s="40">
        <v>32</v>
      </c>
      <c r="G414" s="40">
        <v>26</v>
      </c>
      <c r="H414" s="40">
        <v>15841</v>
      </c>
      <c r="I414" s="40">
        <v>2689</v>
      </c>
      <c r="J414" s="40">
        <v>25</v>
      </c>
    </row>
    <row r="415" spans="1:10">
      <c r="A415" s="1" t="s">
        <v>18</v>
      </c>
      <c r="B415" s="35">
        <v>46102</v>
      </c>
      <c r="C415" s="5">
        <f>COUNTIF(B$320:B415,B415)</f>
        <v>2</v>
      </c>
      <c r="D415" s="36">
        <v>602200</v>
      </c>
      <c r="E415" s="37">
        <v>3792</v>
      </c>
      <c r="F415" s="37">
        <v>31</v>
      </c>
      <c r="G415" s="37">
        <v>40</v>
      </c>
      <c r="H415" s="37">
        <v>17605</v>
      </c>
      <c r="I415" s="37">
        <v>3166</v>
      </c>
      <c r="J415" s="37">
        <v>25</v>
      </c>
    </row>
    <row r="416" spans="1:10">
      <c r="A416" s="1" t="s">
        <v>18</v>
      </c>
      <c r="B416" s="38">
        <v>46103</v>
      </c>
      <c r="C416" s="5">
        <f>COUNTIF(B$320:B416,B416)</f>
        <v>1</v>
      </c>
      <c r="D416" s="39">
        <v>530100</v>
      </c>
      <c r="E416" s="40">
        <v>3593</v>
      </c>
      <c r="F416" s="40">
        <v>29</v>
      </c>
      <c r="G416" s="40">
        <v>39</v>
      </c>
      <c r="H416" s="40">
        <v>17552</v>
      </c>
      <c r="I416" s="40">
        <v>2891</v>
      </c>
      <c r="J416" s="40">
        <v>21</v>
      </c>
    </row>
    <row r="417" spans="1:10">
      <c r="A417" s="1" t="s">
        <v>18</v>
      </c>
      <c r="B417" s="35">
        <v>46103</v>
      </c>
      <c r="C417" s="5">
        <f>COUNTIF(B$320:B417,B417)</f>
        <v>2</v>
      </c>
      <c r="D417" s="36">
        <v>566600</v>
      </c>
      <c r="E417" s="37">
        <v>4630</v>
      </c>
      <c r="F417" s="37">
        <v>31</v>
      </c>
      <c r="G417" s="37">
        <v>28</v>
      </c>
      <c r="H417" s="37">
        <v>19809</v>
      </c>
      <c r="I417" s="37">
        <v>3418</v>
      </c>
      <c r="J417" s="37">
        <v>26</v>
      </c>
    </row>
    <row r="418" spans="1:10">
      <c r="A418" s="1" t="s">
        <v>18</v>
      </c>
      <c r="B418" s="38">
        <v>46104</v>
      </c>
      <c r="C418" s="5">
        <f>COUNTIF(B$320:B418,B418)</f>
        <v>1</v>
      </c>
      <c r="D418" s="41">
        <v>316000</v>
      </c>
      <c r="E418" s="40">
        <v>3068</v>
      </c>
      <c r="F418" s="40">
        <v>29</v>
      </c>
      <c r="G418" s="40">
        <v>27</v>
      </c>
      <c r="H418" s="40">
        <v>12771</v>
      </c>
      <c r="I418" s="40">
        <v>2351</v>
      </c>
      <c r="J418" s="40">
        <v>23</v>
      </c>
    </row>
    <row r="419" spans="1:10">
      <c r="A419" s="1" t="s">
        <v>18</v>
      </c>
      <c r="B419" s="35">
        <v>46104</v>
      </c>
      <c r="C419" s="5">
        <f>COUNTIF(B$320:B419,B419)</f>
        <v>2</v>
      </c>
      <c r="D419" s="42">
        <v>635200</v>
      </c>
      <c r="E419" s="37">
        <v>3181</v>
      </c>
      <c r="F419" s="37">
        <v>32</v>
      </c>
      <c r="G419" s="37">
        <v>42</v>
      </c>
      <c r="H419" s="37">
        <v>17438</v>
      </c>
      <c r="I419" s="37">
        <v>3079</v>
      </c>
      <c r="J419" s="37">
        <v>25</v>
      </c>
    </row>
    <row r="420" spans="1:10">
      <c r="A420" s="1" t="s">
        <v>18</v>
      </c>
      <c r="B420" s="38">
        <v>46105</v>
      </c>
      <c r="C420" s="5">
        <f>COUNTIF(B$320:B420,B420)</f>
        <v>1</v>
      </c>
      <c r="D420" s="41">
        <v>530300</v>
      </c>
      <c r="E420" s="40">
        <v>2677</v>
      </c>
      <c r="F420" s="40">
        <v>30</v>
      </c>
      <c r="G420" s="40">
        <v>31</v>
      </c>
      <c r="H420" s="40">
        <v>13967</v>
      </c>
      <c r="I420" s="40">
        <v>2542</v>
      </c>
      <c r="J420" s="40">
        <v>20</v>
      </c>
    </row>
    <row r="421" spans="1:10">
      <c r="A421" s="1" t="s">
        <v>18</v>
      </c>
      <c r="B421" s="35">
        <v>46105</v>
      </c>
      <c r="C421" s="5">
        <f>COUNTIF(B$320:B421,B421)</f>
        <v>2</v>
      </c>
      <c r="D421" s="42">
        <v>523300</v>
      </c>
      <c r="E421" s="37">
        <v>4085</v>
      </c>
      <c r="F421" s="37">
        <v>30</v>
      </c>
      <c r="G421" s="37">
        <v>36</v>
      </c>
      <c r="H421" s="37">
        <v>18171</v>
      </c>
      <c r="I421" s="37">
        <v>2892</v>
      </c>
      <c r="J421" s="37">
        <v>22</v>
      </c>
    </row>
    <row r="422" spans="1:10">
      <c r="A422" s="1" t="s">
        <v>18</v>
      </c>
      <c r="B422" s="38">
        <v>46106</v>
      </c>
      <c r="C422" s="5">
        <f>COUNTIF(B$320:B422,B422)</f>
        <v>1</v>
      </c>
      <c r="D422" s="41">
        <v>577900</v>
      </c>
      <c r="E422" s="40">
        <v>3480</v>
      </c>
      <c r="F422" s="40">
        <v>32</v>
      </c>
      <c r="G422" s="40">
        <v>48</v>
      </c>
      <c r="H422" s="40">
        <v>15893</v>
      </c>
      <c r="I422" s="40">
        <v>2983</v>
      </c>
      <c r="J422" s="40">
        <v>21</v>
      </c>
    </row>
    <row r="423" spans="1:10">
      <c r="A423" s="1" t="s">
        <v>18</v>
      </c>
      <c r="B423" s="35">
        <v>46106</v>
      </c>
      <c r="C423" s="5">
        <f>COUNTIF(B$320:B423,B423)</f>
        <v>2</v>
      </c>
      <c r="D423" s="42">
        <v>756400</v>
      </c>
      <c r="E423" s="37">
        <v>5468</v>
      </c>
      <c r="F423" s="37">
        <v>29</v>
      </c>
      <c r="G423" s="37">
        <v>33</v>
      </c>
      <c r="H423" s="37">
        <v>19126</v>
      </c>
      <c r="I423" s="37">
        <v>3544</v>
      </c>
      <c r="J423" s="37">
        <v>23</v>
      </c>
    </row>
    <row r="424" spans="1:10">
      <c r="A424" s="1" t="s">
        <v>18</v>
      </c>
      <c r="B424" s="38">
        <v>46107</v>
      </c>
      <c r="C424" s="5">
        <f>COUNTIF(B$320:B424,B424)</f>
        <v>1</v>
      </c>
      <c r="D424" s="41">
        <v>509500</v>
      </c>
      <c r="E424" s="40">
        <v>4217</v>
      </c>
      <c r="F424" s="40">
        <v>31</v>
      </c>
      <c r="G424" s="40">
        <v>30</v>
      </c>
      <c r="H424" s="40">
        <v>14601</v>
      </c>
      <c r="I424" s="40">
        <v>2876</v>
      </c>
      <c r="J424" s="40">
        <v>22</v>
      </c>
    </row>
    <row r="425" spans="1:10">
      <c r="A425" s="1" t="s">
        <v>18</v>
      </c>
      <c r="B425" s="35">
        <v>46107</v>
      </c>
      <c r="C425" s="5">
        <f>COUNTIF(B$320:B425,B425)</f>
        <v>2</v>
      </c>
      <c r="D425" s="42">
        <v>365300</v>
      </c>
      <c r="E425" s="37">
        <v>4309</v>
      </c>
      <c r="F425" s="37">
        <v>27</v>
      </c>
      <c r="G425" s="37">
        <v>32</v>
      </c>
      <c r="H425" s="37">
        <v>17050</v>
      </c>
      <c r="I425" s="37">
        <v>3217</v>
      </c>
      <c r="J425" s="37">
        <v>22</v>
      </c>
    </row>
    <row r="426" spans="1:10">
      <c r="A426" s="1" t="s">
        <v>18</v>
      </c>
      <c r="B426" s="38">
        <v>46109</v>
      </c>
      <c r="C426" s="5">
        <f>COUNTIF(B$320:B426,B426)</f>
        <v>1</v>
      </c>
      <c r="D426" s="41">
        <v>394600</v>
      </c>
      <c r="E426" s="40">
        <v>3076</v>
      </c>
      <c r="F426" s="40">
        <v>26</v>
      </c>
      <c r="G426" s="40">
        <v>35</v>
      </c>
      <c r="H426" s="40">
        <v>16803</v>
      </c>
      <c r="I426" s="40">
        <v>2450</v>
      </c>
      <c r="J426" s="40">
        <v>20</v>
      </c>
    </row>
    <row r="427" spans="1:10">
      <c r="A427" s="1" t="s">
        <v>18</v>
      </c>
      <c r="B427" s="35">
        <v>46109</v>
      </c>
      <c r="C427" s="5">
        <f>COUNTIF(B$320:B427,B427)</f>
        <v>2</v>
      </c>
      <c r="D427" s="42">
        <v>613900</v>
      </c>
      <c r="E427" s="37">
        <v>6711</v>
      </c>
      <c r="F427" s="37">
        <v>31</v>
      </c>
      <c r="G427" s="37">
        <v>40</v>
      </c>
      <c r="H427" s="37">
        <v>18137</v>
      </c>
      <c r="I427" s="37">
        <v>3404</v>
      </c>
      <c r="J427" s="37">
        <v>26</v>
      </c>
    </row>
    <row r="428" spans="1:10">
      <c r="A428" s="1" t="s">
        <v>18</v>
      </c>
      <c r="B428" s="38">
        <v>46110</v>
      </c>
      <c r="C428" s="5">
        <f>COUNTIF(B$320:B428,B428)</f>
        <v>1</v>
      </c>
      <c r="D428" s="41">
        <v>826400</v>
      </c>
      <c r="E428" s="40">
        <v>4446</v>
      </c>
      <c r="F428" s="40">
        <v>28</v>
      </c>
      <c r="G428" s="40">
        <v>52</v>
      </c>
      <c r="H428" s="40">
        <v>18648</v>
      </c>
      <c r="I428" s="40">
        <v>3334</v>
      </c>
      <c r="J428" s="40">
        <v>19</v>
      </c>
    </row>
    <row r="429" spans="1:10">
      <c r="A429" s="1" t="s">
        <v>18</v>
      </c>
      <c r="B429" s="35">
        <v>46110</v>
      </c>
      <c r="C429" s="5">
        <f>COUNTIF(B$320:B429,B429)</f>
        <v>2</v>
      </c>
      <c r="D429" s="42">
        <v>624600</v>
      </c>
      <c r="E429" s="37">
        <v>5805</v>
      </c>
      <c r="F429" s="37">
        <v>30</v>
      </c>
      <c r="G429" s="37">
        <v>35</v>
      </c>
      <c r="H429" s="37">
        <v>20115</v>
      </c>
      <c r="I429" s="37">
        <v>3717</v>
      </c>
      <c r="J429" s="37">
        <v>24</v>
      </c>
    </row>
    <row r="430" spans="1:10">
      <c r="A430" s="1" t="s">
        <v>18</v>
      </c>
      <c r="B430" s="38">
        <v>46111</v>
      </c>
      <c r="C430" s="5">
        <f>COUNTIF(B$320:B430,B430)</f>
        <v>1</v>
      </c>
      <c r="D430" s="41">
        <v>324200</v>
      </c>
      <c r="E430" s="40">
        <v>4275</v>
      </c>
      <c r="F430" s="40">
        <v>32</v>
      </c>
      <c r="G430" s="40">
        <v>29</v>
      </c>
      <c r="H430" s="40">
        <v>17408</v>
      </c>
      <c r="I430" s="40">
        <v>3067</v>
      </c>
      <c r="J430" s="40">
        <v>21</v>
      </c>
    </row>
    <row r="431" spans="1:10">
      <c r="A431" s="1" t="s">
        <v>18</v>
      </c>
      <c r="B431" s="35">
        <v>46111</v>
      </c>
      <c r="C431" s="5">
        <f>COUNTIF(B$320:B431,B431)</f>
        <v>2</v>
      </c>
      <c r="D431" s="42">
        <v>623300</v>
      </c>
      <c r="E431" s="37">
        <v>3817</v>
      </c>
      <c r="F431" s="37">
        <v>28</v>
      </c>
      <c r="G431" s="37">
        <v>23</v>
      </c>
      <c r="H431" s="37">
        <v>17842</v>
      </c>
      <c r="I431" s="37">
        <v>2572</v>
      </c>
      <c r="J431" s="37">
        <v>23</v>
      </c>
    </row>
    <row r="432" spans="1:10">
      <c r="A432" s="1" t="s">
        <v>18</v>
      </c>
      <c r="B432" s="38">
        <v>46112</v>
      </c>
      <c r="C432" s="5">
        <f>COUNTIF(B$320:B432,B432)</f>
        <v>1</v>
      </c>
      <c r="D432" s="41">
        <v>515000</v>
      </c>
      <c r="E432" s="40">
        <v>3448</v>
      </c>
      <c r="F432" s="40">
        <v>32</v>
      </c>
      <c r="G432" s="40">
        <v>28</v>
      </c>
      <c r="H432" s="40">
        <v>16370</v>
      </c>
      <c r="I432" s="40">
        <v>2951</v>
      </c>
      <c r="J432" s="40">
        <v>19</v>
      </c>
    </row>
    <row r="433" spans="1:10">
      <c r="A433" s="1" t="s">
        <v>18</v>
      </c>
      <c r="B433" s="35">
        <v>46112</v>
      </c>
      <c r="C433" s="5">
        <f>COUNTIF(B$320:B433,B433)</f>
        <v>2</v>
      </c>
      <c r="D433" s="37">
        <v>605800</v>
      </c>
      <c r="E433" s="37">
        <v>4095</v>
      </c>
      <c r="F433" s="37">
        <v>32</v>
      </c>
      <c r="G433" s="37">
        <v>31</v>
      </c>
      <c r="H433" s="37">
        <v>15901</v>
      </c>
      <c r="I433" s="37">
        <v>3108</v>
      </c>
      <c r="J433" s="37">
        <v>25</v>
      </c>
    </row>
    <row r="434" spans="1:10">
      <c r="A434" s="1" t="s">
        <v>18</v>
      </c>
      <c r="B434" s="38">
        <v>46113</v>
      </c>
      <c r="C434" s="5">
        <f>COUNTIF(B$320:B434,B434)</f>
        <v>1</v>
      </c>
      <c r="D434" s="41">
        <v>482300</v>
      </c>
      <c r="E434" s="40">
        <v>3299</v>
      </c>
      <c r="F434" s="40">
        <v>31</v>
      </c>
      <c r="G434" s="40">
        <v>22</v>
      </c>
      <c r="H434" s="40">
        <v>13063</v>
      </c>
      <c r="I434" s="40">
        <v>2562</v>
      </c>
      <c r="J434" s="40">
        <v>23</v>
      </c>
    </row>
    <row r="435" spans="1:10">
      <c r="A435" s="1" t="s">
        <v>18</v>
      </c>
      <c r="B435" s="35">
        <v>46113</v>
      </c>
      <c r="C435" s="5">
        <f>COUNTIF(B$320:B435,B435)</f>
        <v>2</v>
      </c>
      <c r="D435" s="42">
        <v>658000</v>
      </c>
      <c r="E435" s="37">
        <v>4363</v>
      </c>
      <c r="F435" s="37">
        <v>32</v>
      </c>
      <c r="G435" s="37">
        <v>20</v>
      </c>
      <c r="H435" s="37">
        <v>15591</v>
      </c>
      <c r="I435" s="37">
        <v>3498</v>
      </c>
      <c r="J435" s="37">
        <v>27</v>
      </c>
    </row>
    <row r="436" spans="1:10">
      <c r="A436" s="1" t="s">
        <v>18</v>
      </c>
      <c r="B436" s="38">
        <v>46113</v>
      </c>
      <c r="C436" s="5">
        <f>COUNTIF(B$320:B436,B436)</f>
        <v>3</v>
      </c>
      <c r="D436" s="41">
        <v>435800</v>
      </c>
      <c r="E436" s="40">
        <v>2664</v>
      </c>
      <c r="F436" s="40">
        <v>7</v>
      </c>
      <c r="G436" s="40">
        <v>76</v>
      </c>
      <c r="H436" s="40">
        <v>62931</v>
      </c>
      <c r="I436" s="40">
        <v>2173</v>
      </c>
      <c r="J436" s="40">
        <v>6</v>
      </c>
    </row>
    <row r="437" spans="1:10">
      <c r="A437" s="1" t="s">
        <v>18</v>
      </c>
      <c r="B437" s="35">
        <v>46114</v>
      </c>
      <c r="C437" s="5">
        <f>COUNTIF(B$320:B437,B437)</f>
        <v>1</v>
      </c>
      <c r="D437" s="42">
        <v>393800</v>
      </c>
      <c r="E437" s="37">
        <v>2751</v>
      </c>
      <c r="F437" s="37">
        <v>27</v>
      </c>
      <c r="G437" s="37">
        <v>21</v>
      </c>
      <c r="H437" s="37">
        <v>12542</v>
      </c>
      <c r="I437" s="37">
        <v>1917</v>
      </c>
      <c r="J437" s="37">
        <v>18</v>
      </c>
    </row>
    <row r="438" spans="1:10">
      <c r="A438" s="1" t="s">
        <v>18</v>
      </c>
      <c r="B438" s="38">
        <v>46114</v>
      </c>
      <c r="C438" s="5">
        <f>COUNTIF(B$320:B438,B438)</f>
        <v>2</v>
      </c>
      <c r="D438" s="41">
        <v>478800</v>
      </c>
      <c r="E438" s="40">
        <v>4633</v>
      </c>
      <c r="F438" s="40">
        <v>29</v>
      </c>
      <c r="G438" s="40">
        <v>44</v>
      </c>
      <c r="H438" s="40">
        <v>22473</v>
      </c>
      <c r="I438" s="40">
        <v>3338</v>
      </c>
      <c r="J438" s="40">
        <v>14</v>
      </c>
    </row>
    <row r="439" spans="1:10">
      <c r="A439" s="1" t="s">
        <v>18</v>
      </c>
      <c r="B439" s="35">
        <v>46116</v>
      </c>
      <c r="C439" s="5">
        <f>COUNTIF(B$320:B439,B439)</f>
        <v>1</v>
      </c>
      <c r="D439" s="42">
        <v>617700</v>
      </c>
      <c r="E439" s="37">
        <v>4910</v>
      </c>
      <c r="F439" s="37">
        <v>30</v>
      </c>
      <c r="G439" s="37">
        <v>97</v>
      </c>
      <c r="H439" s="37">
        <v>26339</v>
      </c>
      <c r="I439" s="37">
        <v>3061</v>
      </c>
      <c r="J439" s="37">
        <v>9</v>
      </c>
    </row>
    <row r="440" spans="1:10">
      <c r="A440" s="1" t="s">
        <v>18</v>
      </c>
      <c r="B440" s="38">
        <v>46116</v>
      </c>
      <c r="C440" s="5">
        <f>COUNTIF(B$320:B440,B440)</f>
        <v>2</v>
      </c>
      <c r="D440" s="41">
        <v>1000000</v>
      </c>
      <c r="E440" s="40">
        <v>5736</v>
      </c>
      <c r="F440" s="40">
        <v>33</v>
      </c>
      <c r="G440" s="40">
        <v>76</v>
      </c>
      <c r="H440" s="40">
        <v>24150</v>
      </c>
      <c r="I440" s="40">
        <v>3953</v>
      </c>
      <c r="J440" s="40">
        <v>17</v>
      </c>
    </row>
    <row r="441" spans="1:10">
      <c r="A441" s="1" t="s">
        <v>18</v>
      </c>
      <c r="B441" s="35">
        <v>46117</v>
      </c>
      <c r="C441" s="5">
        <f>COUNTIF(B$320:B441,B441)</f>
        <v>1</v>
      </c>
      <c r="D441" s="42">
        <v>1100000</v>
      </c>
      <c r="E441" s="37">
        <v>4160</v>
      </c>
      <c r="F441" s="37">
        <v>30</v>
      </c>
      <c r="G441" s="37">
        <v>84</v>
      </c>
      <c r="H441" s="37">
        <v>24035</v>
      </c>
      <c r="I441" s="37">
        <v>2916</v>
      </c>
      <c r="J441" s="37">
        <v>12</v>
      </c>
    </row>
    <row r="442" spans="1:10">
      <c r="A442" s="1" t="s">
        <v>18</v>
      </c>
      <c r="B442" s="38">
        <v>46117</v>
      </c>
      <c r="C442" s="5">
        <f>COUNTIF(B$320:B442,B442)</f>
        <v>2</v>
      </c>
      <c r="D442" s="41">
        <v>1700000</v>
      </c>
      <c r="E442" s="40">
        <v>12600</v>
      </c>
      <c r="F442" s="40">
        <v>41</v>
      </c>
      <c r="G442" s="40">
        <v>69</v>
      </c>
      <c r="H442" s="40">
        <v>28370</v>
      </c>
      <c r="I442" s="40">
        <v>4524</v>
      </c>
      <c r="J442" s="40">
        <v>23</v>
      </c>
    </row>
    <row r="443" spans="1:10">
      <c r="A443" s="1" t="s">
        <v>18</v>
      </c>
      <c r="B443" s="35">
        <v>46118</v>
      </c>
      <c r="C443" s="5">
        <f>COUNTIF(B$320:B443,B443)</f>
        <v>1</v>
      </c>
      <c r="D443" s="42">
        <v>1100000</v>
      </c>
      <c r="E443" s="37">
        <v>5158</v>
      </c>
      <c r="F443" s="37">
        <v>34</v>
      </c>
      <c r="G443" s="37">
        <v>81</v>
      </c>
      <c r="H443" s="37">
        <v>21820</v>
      </c>
      <c r="I443" s="37">
        <v>2833</v>
      </c>
      <c r="J443" s="37">
        <v>16</v>
      </c>
    </row>
    <row r="444" spans="1:10">
      <c r="A444" s="1" t="s">
        <v>18</v>
      </c>
      <c r="B444" s="38">
        <v>46118</v>
      </c>
      <c r="C444" s="5">
        <f>COUNTIF(B$320:B444,B444)</f>
        <v>2</v>
      </c>
      <c r="D444" s="41">
        <v>1100000</v>
      </c>
      <c r="E444" s="40">
        <v>6293</v>
      </c>
      <c r="F444" s="40">
        <v>35</v>
      </c>
      <c r="G444" s="40">
        <v>57</v>
      </c>
      <c r="H444" s="40">
        <v>26209</v>
      </c>
      <c r="I444" s="40">
        <v>3740</v>
      </c>
      <c r="J444" s="40">
        <v>19</v>
      </c>
    </row>
    <row r="445" spans="1:10">
      <c r="A445" s="1" t="s">
        <v>18</v>
      </c>
      <c r="B445" s="35">
        <v>46119</v>
      </c>
      <c r="C445" s="5">
        <f>COUNTIF(B$320:B445,B445)</f>
        <v>1</v>
      </c>
      <c r="D445" s="42">
        <v>2500000</v>
      </c>
      <c r="E445" s="37">
        <v>5696</v>
      </c>
      <c r="F445" s="37">
        <v>35</v>
      </c>
      <c r="G445" s="37">
        <v>34</v>
      </c>
      <c r="H445" s="37">
        <v>16804</v>
      </c>
      <c r="I445" s="37">
        <v>2997</v>
      </c>
      <c r="J445" s="37">
        <v>21</v>
      </c>
    </row>
    <row r="446" spans="1:10">
      <c r="A446" s="1" t="s">
        <v>18</v>
      </c>
      <c r="B446" s="38">
        <v>46119</v>
      </c>
      <c r="C446" s="5">
        <f>COUNTIF(B$320:B446,B446)</f>
        <v>2</v>
      </c>
      <c r="D446" s="41">
        <v>618000</v>
      </c>
      <c r="E446" s="40">
        <v>38665</v>
      </c>
      <c r="F446" s="40">
        <v>32</v>
      </c>
      <c r="G446" s="40">
        <v>28</v>
      </c>
      <c r="H446" s="40">
        <v>15019</v>
      </c>
      <c r="I446" s="40">
        <v>2841</v>
      </c>
      <c r="J446" s="40">
        <v>25</v>
      </c>
    </row>
    <row r="447" spans="1:10">
      <c r="A447" s="1" t="s">
        <v>18</v>
      </c>
      <c r="B447" s="35">
        <v>46120</v>
      </c>
      <c r="C447" s="5">
        <f>COUNTIF(B$320:B447,B447)</f>
        <v>1</v>
      </c>
      <c r="D447" s="42">
        <v>522800</v>
      </c>
      <c r="E447" s="37">
        <v>3292</v>
      </c>
      <c r="F447" s="37">
        <v>34</v>
      </c>
      <c r="G447" s="37">
        <v>36</v>
      </c>
      <c r="H447" s="37">
        <v>15296</v>
      </c>
      <c r="I447" s="37">
        <v>2750</v>
      </c>
      <c r="J447" s="37">
        <v>21</v>
      </c>
    </row>
    <row r="448" spans="1:10">
      <c r="A448" s="1" t="s">
        <v>18</v>
      </c>
      <c r="B448" s="38">
        <v>46120</v>
      </c>
      <c r="C448" s="5">
        <f>COUNTIF(B$320:B448,B448)</f>
        <v>2</v>
      </c>
      <c r="D448" s="41">
        <v>591200</v>
      </c>
      <c r="E448" s="40">
        <v>5024</v>
      </c>
      <c r="F448" s="40">
        <v>33</v>
      </c>
      <c r="G448" s="40">
        <v>24</v>
      </c>
      <c r="H448" s="40">
        <v>15859</v>
      </c>
      <c r="I448" s="40">
        <v>2959</v>
      </c>
      <c r="J448" s="40">
        <v>25</v>
      </c>
    </row>
    <row r="449" spans="1:10">
      <c r="A449" s="1" t="s">
        <v>18</v>
      </c>
      <c r="B449" s="35">
        <v>46121</v>
      </c>
      <c r="C449" s="5">
        <f>COUNTIF(B$320:B449,B449)</f>
        <v>1</v>
      </c>
      <c r="D449" s="42">
        <v>1100000</v>
      </c>
      <c r="E449" s="37">
        <v>6182</v>
      </c>
      <c r="F449" s="37">
        <v>39</v>
      </c>
      <c r="G449" s="37">
        <v>27</v>
      </c>
      <c r="H449" s="37">
        <v>17564</v>
      </c>
      <c r="I449" s="37">
        <v>3201</v>
      </c>
      <c r="J449" s="37">
        <v>24</v>
      </c>
    </row>
    <row r="450" spans="1:10">
      <c r="A450" s="1" t="s">
        <v>18</v>
      </c>
      <c r="B450" s="38">
        <v>46121</v>
      </c>
      <c r="C450" s="5">
        <f>COUNTIF(B$320:B450,B450)</f>
        <v>2</v>
      </c>
      <c r="D450" s="41">
        <v>1600000</v>
      </c>
      <c r="E450" s="40">
        <v>12600</v>
      </c>
      <c r="F450" s="40">
        <v>45</v>
      </c>
      <c r="G450" s="40">
        <v>146</v>
      </c>
      <c r="H450" s="40">
        <v>31525</v>
      </c>
      <c r="I450" s="40">
        <v>4988</v>
      </c>
      <c r="J450" s="40">
        <v>24</v>
      </c>
    </row>
    <row r="451" spans="1:10">
      <c r="A451" s="1" t="s">
        <v>18</v>
      </c>
      <c r="B451" s="35">
        <v>46121</v>
      </c>
      <c r="C451" s="5">
        <f>COUNTIF(B$320:B451,B451)</f>
        <v>3</v>
      </c>
      <c r="D451" s="42">
        <v>325200</v>
      </c>
      <c r="E451" s="37">
        <v>2669</v>
      </c>
      <c r="F451" s="37">
        <v>4</v>
      </c>
      <c r="G451" s="37">
        <v>102</v>
      </c>
      <c r="H451" s="37">
        <v>22399</v>
      </c>
      <c r="I451" s="37">
        <v>966</v>
      </c>
      <c r="J451" s="37">
        <v>2</v>
      </c>
    </row>
    <row r="452" spans="1:10">
      <c r="A452" s="1" t="s">
        <v>18</v>
      </c>
      <c r="B452" s="38">
        <v>46123</v>
      </c>
      <c r="C452" s="5">
        <f>COUNTIF(B$320:B452,B452)</f>
        <v>1</v>
      </c>
      <c r="D452" s="41">
        <v>407400</v>
      </c>
      <c r="E452" s="40">
        <v>4203</v>
      </c>
      <c r="F452" s="40">
        <v>30</v>
      </c>
      <c r="G452" s="40">
        <v>62</v>
      </c>
      <c r="H452" s="40">
        <v>19593</v>
      </c>
      <c r="I452" s="40">
        <v>2703</v>
      </c>
      <c r="J452" s="40">
        <v>16</v>
      </c>
    </row>
    <row r="453" spans="1:10">
      <c r="A453" s="1" t="s">
        <v>18</v>
      </c>
      <c r="B453" s="35">
        <v>46123</v>
      </c>
      <c r="C453" s="5">
        <f>COUNTIF(B$320:B453,B453)</f>
        <v>2</v>
      </c>
      <c r="D453" s="42">
        <v>942300</v>
      </c>
      <c r="E453" s="37">
        <v>5870</v>
      </c>
      <c r="F453" s="37">
        <v>32</v>
      </c>
      <c r="G453" s="37">
        <v>33</v>
      </c>
      <c r="H453" s="37">
        <v>17820</v>
      </c>
      <c r="I453" s="37">
        <v>3308</v>
      </c>
      <c r="J453" s="37">
        <v>22</v>
      </c>
    </row>
    <row r="454" spans="1:10">
      <c r="A454" s="1" t="s">
        <v>18</v>
      </c>
      <c r="B454" s="38">
        <v>46124</v>
      </c>
      <c r="C454" s="5">
        <f>COUNTIF(B$320:B454,B454)</f>
        <v>1</v>
      </c>
      <c r="D454" s="41">
        <v>538500</v>
      </c>
      <c r="E454" s="40">
        <v>4525</v>
      </c>
      <c r="F454" s="40">
        <v>31</v>
      </c>
      <c r="G454" s="40">
        <v>58</v>
      </c>
      <c r="H454" s="40">
        <v>21124</v>
      </c>
      <c r="I454" s="40">
        <v>3326</v>
      </c>
      <c r="J454" s="40">
        <v>16</v>
      </c>
    </row>
    <row r="455" spans="1:10">
      <c r="A455" s="1" t="s">
        <v>18</v>
      </c>
      <c r="B455" s="35">
        <v>46124</v>
      </c>
      <c r="C455" s="5">
        <f>COUNTIF(B$320:B455,B455)</f>
        <v>2</v>
      </c>
      <c r="D455" s="42">
        <v>572400</v>
      </c>
      <c r="E455" s="37">
        <v>4082</v>
      </c>
      <c r="F455" s="37">
        <v>30</v>
      </c>
      <c r="G455" s="37">
        <v>69</v>
      </c>
      <c r="H455" s="37">
        <v>23242</v>
      </c>
      <c r="I455" s="37">
        <v>3102</v>
      </c>
      <c r="J455" s="37">
        <v>17</v>
      </c>
    </row>
    <row r="456" spans="1:10">
      <c r="A456" s="1" t="s">
        <v>18</v>
      </c>
      <c r="B456" s="38">
        <v>46125</v>
      </c>
      <c r="C456" s="5">
        <f>COUNTIF(B$320:B456,B456)</f>
        <v>1</v>
      </c>
      <c r="D456" s="41">
        <v>1100000</v>
      </c>
      <c r="E456" s="40">
        <v>3720</v>
      </c>
      <c r="F456" s="40">
        <v>34</v>
      </c>
      <c r="G456" s="40">
        <v>38</v>
      </c>
      <c r="H456" s="40">
        <v>20117</v>
      </c>
      <c r="I456" s="40">
        <v>3015</v>
      </c>
      <c r="J456" s="40">
        <v>18</v>
      </c>
    </row>
    <row r="457" spans="1:10">
      <c r="A457" s="1" t="s">
        <v>18</v>
      </c>
      <c r="B457" s="35">
        <v>46125</v>
      </c>
      <c r="C457" s="5">
        <f>COUNTIF(B$320:B457,B457)</f>
        <v>2</v>
      </c>
      <c r="D457" s="42">
        <v>1100000</v>
      </c>
      <c r="E457" s="37">
        <v>5365</v>
      </c>
      <c r="F457" s="37">
        <v>37</v>
      </c>
      <c r="G457" s="37">
        <v>39</v>
      </c>
      <c r="H457" s="37">
        <v>19415</v>
      </c>
      <c r="I457" s="37">
        <v>3780</v>
      </c>
      <c r="J457" s="37">
        <v>23</v>
      </c>
    </row>
    <row r="458" spans="1:10">
      <c r="A458" s="1" t="s">
        <v>18</v>
      </c>
      <c r="B458" s="38">
        <v>46126</v>
      </c>
      <c r="C458" s="5">
        <f>COUNTIF(B$320:B458,B458)</f>
        <v>1</v>
      </c>
      <c r="D458" s="41">
        <v>4958</v>
      </c>
      <c r="E458" s="40">
        <v>3202</v>
      </c>
      <c r="F458" s="40">
        <v>32</v>
      </c>
      <c r="G458" s="40">
        <v>30</v>
      </c>
      <c r="H458" s="40">
        <v>16345</v>
      </c>
      <c r="I458" s="40">
        <v>2633</v>
      </c>
      <c r="J458" s="40">
        <v>16</v>
      </c>
    </row>
    <row r="459" spans="1:10">
      <c r="A459" s="1" t="s">
        <v>18</v>
      </c>
      <c r="B459" s="35">
        <v>46126</v>
      </c>
      <c r="C459" s="5">
        <f>COUNTIF(B$320:B459,B459)</f>
        <v>2</v>
      </c>
      <c r="D459" s="42">
        <v>1100000</v>
      </c>
      <c r="E459" s="37">
        <v>10300</v>
      </c>
      <c r="F459" s="37">
        <v>41</v>
      </c>
      <c r="G459" s="37">
        <v>54</v>
      </c>
      <c r="H459" s="37">
        <v>27558</v>
      </c>
      <c r="I459" s="37">
        <v>4392</v>
      </c>
      <c r="J459" s="37">
        <v>24</v>
      </c>
    </row>
    <row r="460" spans="1:10">
      <c r="A460" s="1" t="s">
        <v>18</v>
      </c>
      <c r="B460" s="38">
        <v>46127</v>
      </c>
      <c r="C460" s="5">
        <f>COUNTIF(B$320:B460,B460)</f>
        <v>1</v>
      </c>
      <c r="D460" s="41">
        <v>730300</v>
      </c>
      <c r="E460" s="40">
        <v>5391</v>
      </c>
      <c r="F460" s="40">
        <v>38</v>
      </c>
      <c r="G460" s="40">
        <v>47</v>
      </c>
      <c r="H460" s="40">
        <v>20913</v>
      </c>
      <c r="I460" s="40">
        <v>3365</v>
      </c>
      <c r="J460" s="40">
        <v>19</v>
      </c>
    </row>
    <row r="461" spans="1:10">
      <c r="A461" s="1" t="s">
        <v>18</v>
      </c>
      <c r="B461" s="35">
        <v>46127</v>
      </c>
      <c r="C461" s="5">
        <f>COUNTIF(B$320:B461,B461)</f>
        <v>2</v>
      </c>
      <c r="D461" s="42">
        <v>1400000</v>
      </c>
      <c r="E461" s="37">
        <v>8434</v>
      </c>
      <c r="F461" s="37">
        <v>45</v>
      </c>
      <c r="G461" s="37">
        <v>63</v>
      </c>
      <c r="H461" s="37">
        <v>24139</v>
      </c>
      <c r="I461" s="37">
        <v>4703</v>
      </c>
      <c r="J461" s="37">
        <v>25</v>
      </c>
    </row>
    <row r="462" spans="1:10">
      <c r="A462" s="1" t="s">
        <v>18</v>
      </c>
      <c r="B462" s="38">
        <v>46128</v>
      </c>
      <c r="C462" s="5">
        <f>COUNTIF(B$320:B462,B462)</f>
        <v>1</v>
      </c>
      <c r="D462" s="41">
        <v>650800</v>
      </c>
      <c r="E462" s="40">
        <v>7412</v>
      </c>
      <c r="F462" s="40">
        <v>37</v>
      </c>
      <c r="G462" s="40">
        <v>35</v>
      </c>
      <c r="H462" s="40">
        <v>18976</v>
      </c>
      <c r="I462" s="40">
        <v>3506</v>
      </c>
      <c r="J462" s="40">
        <v>24</v>
      </c>
    </row>
    <row r="463" spans="1:10">
      <c r="A463" s="1" t="s">
        <v>18</v>
      </c>
      <c r="B463" s="35">
        <v>46128</v>
      </c>
      <c r="C463" s="5">
        <f>COUNTIF(B$320:B463,B463)</f>
        <v>2</v>
      </c>
      <c r="D463" s="42">
        <v>1500000</v>
      </c>
      <c r="E463" s="37">
        <v>7546</v>
      </c>
      <c r="F463" s="37">
        <v>43</v>
      </c>
      <c r="G463" s="37">
        <v>44</v>
      </c>
      <c r="H463" s="37">
        <v>23079</v>
      </c>
      <c r="I463" s="37">
        <v>4363</v>
      </c>
      <c r="J463" s="37">
        <v>27</v>
      </c>
    </row>
    <row r="464" spans="1:10">
      <c r="A464" s="1" t="s">
        <v>18</v>
      </c>
      <c r="B464" s="38">
        <v>46128</v>
      </c>
      <c r="C464" s="5">
        <f>COUNTIF(B$320:B464,B464)</f>
        <v>3</v>
      </c>
      <c r="D464" s="41">
        <v>145900</v>
      </c>
      <c r="E464" s="40">
        <v>993</v>
      </c>
      <c r="F464" s="40">
        <v>2</v>
      </c>
      <c r="G464" s="40">
        <v>36</v>
      </c>
      <c r="H464" s="40">
        <v>8879</v>
      </c>
      <c r="I464" s="40">
        <v>797</v>
      </c>
      <c r="J464" s="40">
        <v>2</v>
      </c>
    </row>
    <row r="465" spans="1:10">
      <c r="A465" s="1" t="s">
        <v>18</v>
      </c>
      <c r="B465" s="35">
        <v>46130</v>
      </c>
      <c r="C465" s="5">
        <f>COUNTIF(B$320:B465,B465)</f>
        <v>1</v>
      </c>
      <c r="D465" s="42">
        <v>478900</v>
      </c>
      <c r="E465" s="37">
        <v>4499</v>
      </c>
      <c r="F465" s="37">
        <v>35</v>
      </c>
      <c r="G465" s="37">
        <v>23</v>
      </c>
      <c r="H465" s="37">
        <v>18273</v>
      </c>
      <c r="I465" s="37">
        <v>3681</v>
      </c>
      <c r="J465" s="37">
        <v>21</v>
      </c>
    </row>
    <row r="466" ht="13.75" spans="1:10">
      <c r="A466" s="1" t="s">
        <v>18</v>
      </c>
      <c r="B466" s="38">
        <v>46130</v>
      </c>
      <c r="C466" s="5">
        <f>COUNTIF(B$320:B466,B466)</f>
        <v>2</v>
      </c>
      <c r="D466" s="41">
        <v>1100000</v>
      </c>
      <c r="E466" s="40">
        <v>6949</v>
      </c>
      <c r="F466" s="40">
        <v>38</v>
      </c>
      <c r="G466" s="40">
        <v>31</v>
      </c>
      <c r="H466" s="40">
        <v>22611</v>
      </c>
      <c r="I466" s="40">
        <v>3579</v>
      </c>
      <c r="J466" s="40">
        <v>27</v>
      </c>
    </row>
    <row r="467" spans="1:10">
      <c r="A467" s="1" t="s">
        <v>20</v>
      </c>
      <c r="B467" s="32">
        <v>46090</v>
      </c>
      <c r="C467" s="5">
        <f>COUNTIF(B$467:B467,B467)</f>
        <v>1</v>
      </c>
      <c r="D467" s="33">
        <v>3300000</v>
      </c>
      <c r="E467" s="34">
        <v>14800</v>
      </c>
      <c r="F467" s="34">
        <v>45</v>
      </c>
      <c r="G467" s="34">
        <v>2303</v>
      </c>
      <c r="H467" s="34">
        <v>43414</v>
      </c>
      <c r="I467" s="34">
        <v>5420</v>
      </c>
      <c r="J467" s="34">
        <v>21</v>
      </c>
    </row>
    <row r="468" spans="1:10">
      <c r="A468" s="1" t="s">
        <v>20</v>
      </c>
      <c r="B468" s="35">
        <v>46091</v>
      </c>
      <c r="C468" s="5">
        <f>COUNTIF(B$467:B468,B468)</f>
        <v>1</v>
      </c>
      <c r="D468" s="36">
        <v>1300000</v>
      </c>
      <c r="E468" s="37">
        <v>4859</v>
      </c>
      <c r="F468" s="37">
        <v>24</v>
      </c>
      <c r="G468" s="37">
        <v>590</v>
      </c>
      <c r="H468" s="37">
        <v>23954</v>
      </c>
      <c r="I468" s="37">
        <v>3013</v>
      </c>
      <c r="J468" s="37">
        <v>15</v>
      </c>
    </row>
    <row r="469" spans="1:10">
      <c r="A469" s="1" t="s">
        <v>20</v>
      </c>
      <c r="B469" s="38">
        <v>46092</v>
      </c>
      <c r="C469" s="5">
        <f>COUNTIF(B$467:B469,B469)</f>
        <v>1</v>
      </c>
      <c r="D469" s="39">
        <v>1700000</v>
      </c>
      <c r="E469" s="40">
        <v>5642</v>
      </c>
      <c r="F469" s="40">
        <v>26</v>
      </c>
      <c r="G469" s="40">
        <v>463</v>
      </c>
      <c r="H469" s="40">
        <v>26529</v>
      </c>
      <c r="I469" s="40">
        <v>2925</v>
      </c>
      <c r="J469" s="40">
        <v>16</v>
      </c>
    </row>
    <row r="470" spans="1:10">
      <c r="A470" s="1" t="s">
        <v>20</v>
      </c>
      <c r="B470" s="35">
        <v>46093</v>
      </c>
      <c r="C470" s="5">
        <f>COUNTIF(B$467:B470,B470)</f>
        <v>1</v>
      </c>
      <c r="D470" s="36">
        <v>1200000</v>
      </c>
      <c r="E470" s="37">
        <v>5821</v>
      </c>
      <c r="F470" s="37">
        <v>26</v>
      </c>
      <c r="G470" s="37">
        <v>328</v>
      </c>
      <c r="H470" s="37">
        <v>23018</v>
      </c>
      <c r="I470" s="37">
        <v>2874</v>
      </c>
      <c r="J470" s="37">
        <v>17</v>
      </c>
    </row>
    <row r="471" spans="1:10">
      <c r="A471" s="1" t="s">
        <v>20</v>
      </c>
      <c r="B471" s="38">
        <v>46094</v>
      </c>
      <c r="C471" s="5">
        <f>COUNTIF(B$467:B471,B471)</f>
        <v>1</v>
      </c>
      <c r="D471" s="39">
        <v>1200000</v>
      </c>
      <c r="E471" s="40">
        <v>4804</v>
      </c>
      <c r="F471" s="40">
        <v>24</v>
      </c>
      <c r="G471" s="40">
        <v>296</v>
      </c>
      <c r="H471" s="40">
        <v>23136</v>
      </c>
      <c r="I471" s="40">
        <v>2255</v>
      </c>
      <c r="J471" s="40">
        <v>14</v>
      </c>
    </row>
    <row r="472" spans="1:10">
      <c r="A472" s="1" t="s">
        <v>20</v>
      </c>
      <c r="B472" s="35">
        <v>46095</v>
      </c>
      <c r="C472" s="5">
        <f>COUNTIF(B$467:B472,B472)</f>
        <v>1</v>
      </c>
      <c r="D472" s="36">
        <v>1200000</v>
      </c>
      <c r="E472" s="37">
        <v>5324</v>
      </c>
      <c r="F472" s="37">
        <v>25</v>
      </c>
      <c r="G472" s="37">
        <v>205</v>
      </c>
      <c r="H472" s="37">
        <v>22826</v>
      </c>
      <c r="I472" s="37">
        <v>2830</v>
      </c>
      <c r="J472" s="37">
        <v>15</v>
      </c>
    </row>
    <row r="473" spans="1:10">
      <c r="A473" s="1" t="s">
        <v>20</v>
      </c>
      <c r="B473" s="38">
        <v>46096</v>
      </c>
      <c r="C473" s="5">
        <f>COUNTIF(B$467:B473,B473)</f>
        <v>1</v>
      </c>
      <c r="D473" s="39">
        <v>1200000</v>
      </c>
      <c r="E473" s="40">
        <v>6805</v>
      </c>
      <c r="F473" s="40">
        <v>26</v>
      </c>
      <c r="G473" s="40">
        <v>167</v>
      </c>
      <c r="H473" s="40">
        <v>21870</v>
      </c>
      <c r="I473" s="40">
        <v>2692</v>
      </c>
      <c r="J473" s="40">
        <v>16</v>
      </c>
    </row>
    <row r="474" spans="1:10">
      <c r="A474" s="1" t="s">
        <v>20</v>
      </c>
      <c r="B474" s="35">
        <v>46097</v>
      </c>
      <c r="C474" s="5">
        <f>COUNTIF(B$467:B474,B474)</f>
        <v>1</v>
      </c>
      <c r="D474" s="36">
        <v>2100000</v>
      </c>
      <c r="E474" s="37">
        <v>10900</v>
      </c>
      <c r="F474" s="37">
        <v>34</v>
      </c>
      <c r="G474" s="37">
        <v>391</v>
      </c>
      <c r="H474" s="37">
        <v>35635</v>
      </c>
      <c r="I474" s="37">
        <v>5399</v>
      </c>
      <c r="J474" s="37">
        <v>20</v>
      </c>
    </row>
    <row r="475" spans="1:10">
      <c r="A475" s="1" t="s">
        <v>20</v>
      </c>
      <c r="B475" s="38">
        <v>46098</v>
      </c>
      <c r="C475" s="5">
        <f>COUNTIF(B$467:B475,B475)</f>
        <v>1</v>
      </c>
      <c r="D475" s="39">
        <v>1100000</v>
      </c>
      <c r="E475" s="40">
        <v>5739</v>
      </c>
      <c r="F475" s="40">
        <v>29</v>
      </c>
      <c r="G475" s="40">
        <v>102</v>
      </c>
      <c r="H475" s="40">
        <v>18803</v>
      </c>
      <c r="I475" s="40">
        <v>2540</v>
      </c>
      <c r="J475" s="40">
        <v>20</v>
      </c>
    </row>
    <row r="476" spans="1:10">
      <c r="A476" s="1" t="s">
        <v>20</v>
      </c>
      <c r="B476" s="35">
        <v>46099</v>
      </c>
      <c r="C476" s="5">
        <f>COUNTIF(B$467:B476,B476)</f>
        <v>1</v>
      </c>
      <c r="D476" s="36">
        <v>1100000</v>
      </c>
      <c r="E476" s="37">
        <v>3587</v>
      </c>
      <c r="F476" s="37">
        <v>28</v>
      </c>
      <c r="G476" s="37">
        <v>44</v>
      </c>
      <c r="H476" s="37">
        <v>12453</v>
      </c>
      <c r="I476" s="37">
        <v>2001</v>
      </c>
      <c r="J476" s="37">
        <v>25</v>
      </c>
    </row>
    <row r="477" spans="1:10">
      <c r="A477" s="1" t="s">
        <v>20</v>
      </c>
      <c r="B477" s="38">
        <v>46101</v>
      </c>
      <c r="C477" s="5">
        <f>COUNTIF(B$467:B477,B477)</f>
        <v>1</v>
      </c>
      <c r="D477" s="39">
        <v>756100</v>
      </c>
      <c r="E477" s="40">
        <v>3286</v>
      </c>
      <c r="F477" s="40">
        <v>26</v>
      </c>
      <c r="G477" s="40">
        <v>62</v>
      </c>
      <c r="H477" s="40">
        <v>15147</v>
      </c>
      <c r="I477" s="40">
        <v>2041</v>
      </c>
      <c r="J477" s="40">
        <v>22</v>
      </c>
    </row>
    <row r="478" spans="1:10">
      <c r="A478" s="1" t="s">
        <v>20</v>
      </c>
      <c r="B478" s="35">
        <v>46102</v>
      </c>
      <c r="C478" s="5">
        <f>COUNTIF(B$467:B478,B478)</f>
        <v>1</v>
      </c>
      <c r="D478" s="36">
        <v>681800</v>
      </c>
      <c r="E478" s="37">
        <v>5512</v>
      </c>
      <c r="F478" s="37">
        <v>28</v>
      </c>
      <c r="G478" s="37">
        <v>56</v>
      </c>
      <c r="H478" s="37">
        <v>17170</v>
      </c>
      <c r="I478" s="37">
        <v>2559</v>
      </c>
      <c r="J478" s="37">
        <v>24</v>
      </c>
    </row>
    <row r="479" spans="1:10">
      <c r="A479" s="1" t="s">
        <v>20</v>
      </c>
      <c r="B479" s="38">
        <v>46103</v>
      </c>
      <c r="C479" s="5">
        <f>COUNTIF(B$467:B479,B479)</f>
        <v>1</v>
      </c>
      <c r="D479" s="39">
        <v>1100000</v>
      </c>
      <c r="E479" s="40">
        <v>2789</v>
      </c>
      <c r="F479" s="40">
        <v>24</v>
      </c>
      <c r="G479" s="40">
        <v>85</v>
      </c>
      <c r="H479" s="40">
        <v>14730</v>
      </c>
      <c r="I479" s="40">
        <v>1867</v>
      </c>
      <c r="J479" s="40">
        <v>18</v>
      </c>
    </row>
    <row r="480" spans="1:10">
      <c r="A480" s="1" t="s">
        <v>20</v>
      </c>
      <c r="B480" s="35">
        <v>46104</v>
      </c>
      <c r="C480" s="5">
        <f>COUNTIF(B$467:B480,B480)</f>
        <v>1</v>
      </c>
      <c r="D480" s="36">
        <v>684500</v>
      </c>
      <c r="E480" s="37">
        <v>3712</v>
      </c>
      <c r="F480" s="37">
        <v>26</v>
      </c>
      <c r="G480" s="37">
        <v>53</v>
      </c>
      <c r="H480" s="37">
        <v>14343</v>
      </c>
      <c r="I480" s="37">
        <v>2131</v>
      </c>
      <c r="J480" s="37">
        <v>21</v>
      </c>
    </row>
    <row r="481" spans="1:10">
      <c r="A481" s="1" t="s">
        <v>20</v>
      </c>
      <c r="B481" s="38">
        <v>46105</v>
      </c>
      <c r="C481" s="5">
        <f>COUNTIF(B$467:B481,B481)</f>
        <v>1</v>
      </c>
      <c r="D481" s="39">
        <v>798200</v>
      </c>
      <c r="E481" s="40">
        <v>4761</v>
      </c>
      <c r="F481" s="40">
        <v>28</v>
      </c>
      <c r="G481" s="40">
        <v>75</v>
      </c>
      <c r="H481" s="40">
        <v>17801</v>
      </c>
      <c r="I481" s="40">
        <v>2518</v>
      </c>
      <c r="J481" s="40">
        <v>22</v>
      </c>
    </row>
    <row r="482" spans="1:10">
      <c r="A482" s="1" t="s">
        <v>20</v>
      </c>
      <c r="B482" s="35">
        <v>46106</v>
      </c>
      <c r="C482" s="5">
        <f>COUNTIF(B$467:B482,B482)</f>
        <v>1</v>
      </c>
      <c r="D482" s="36">
        <v>1000000</v>
      </c>
      <c r="E482" s="37">
        <v>5850</v>
      </c>
      <c r="F482" s="37">
        <v>27</v>
      </c>
      <c r="G482" s="37">
        <v>84</v>
      </c>
      <c r="H482" s="37">
        <v>20818</v>
      </c>
      <c r="I482" s="37">
        <v>2218</v>
      </c>
      <c r="J482" s="37">
        <v>21</v>
      </c>
    </row>
    <row r="483" spans="1:10">
      <c r="A483" s="1" t="s">
        <v>20</v>
      </c>
      <c r="B483" s="38">
        <v>46108</v>
      </c>
      <c r="C483" s="5">
        <f>COUNTIF(B$467:B483,B483)</f>
        <v>1</v>
      </c>
      <c r="D483" s="39">
        <v>687600</v>
      </c>
      <c r="E483" s="40">
        <v>3114</v>
      </c>
      <c r="F483" s="40">
        <v>22</v>
      </c>
      <c r="G483" s="40">
        <v>65</v>
      </c>
      <c r="H483" s="40">
        <v>14599</v>
      </c>
      <c r="I483" s="40">
        <v>1954</v>
      </c>
      <c r="J483" s="40">
        <v>17</v>
      </c>
    </row>
    <row r="484" spans="1:10">
      <c r="A484" s="1" t="s">
        <v>20</v>
      </c>
      <c r="B484" s="35">
        <v>46109</v>
      </c>
      <c r="C484" s="5">
        <f>COUNTIF(B$467:B484,B484)</f>
        <v>1</v>
      </c>
      <c r="D484" s="36">
        <v>1000000</v>
      </c>
      <c r="E484" s="37">
        <v>2719</v>
      </c>
      <c r="F484" s="37">
        <v>21</v>
      </c>
      <c r="G484" s="37">
        <v>38</v>
      </c>
      <c r="H484" s="37">
        <v>14566</v>
      </c>
      <c r="I484" s="37">
        <v>2044</v>
      </c>
      <c r="J484" s="37">
        <v>17</v>
      </c>
    </row>
    <row r="485" spans="1:10">
      <c r="A485" s="1" t="s">
        <v>20</v>
      </c>
      <c r="B485" s="38">
        <v>46110</v>
      </c>
      <c r="C485" s="5">
        <f>COUNTIF(B$467:B485,B485)</f>
        <v>1</v>
      </c>
      <c r="D485" s="39">
        <v>1000000</v>
      </c>
      <c r="E485" s="40">
        <v>2285</v>
      </c>
      <c r="F485" s="40">
        <v>19</v>
      </c>
      <c r="G485" s="40">
        <v>50</v>
      </c>
      <c r="H485" s="40">
        <v>14342</v>
      </c>
      <c r="I485" s="40">
        <v>1673</v>
      </c>
      <c r="J485" s="40">
        <v>15</v>
      </c>
    </row>
    <row r="486" spans="1:10">
      <c r="A486" s="1" t="s">
        <v>20</v>
      </c>
      <c r="B486" s="35">
        <v>46111</v>
      </c>
      <c r="C486" s="5">
        <f>COUNTIF(B$467:B486,B486)</f>
        <v>1</v>
      </c>
      <c r="D486" s="36">
        <v>1000000</v>
      </c>
      <c r="E486" s="37">
        <v>3435</v>
      </c>
      <c r="F486" s="37">
        <v>23</v>
      </c>
      <c r="G486" s="37">
        <v>25</v>
      </c>
      <c r="H486" s="37">
        <v>13940</v>
      </c>
      <c r="I486" s="37">
        <v>1928</v>
      </c>
      <c r="J486" s="37">
        <v>19</v>
      </c>
    </row>
    <row r="487" spans="1:10">
      <c r="A487" s="1" t="s">
        <v>20</v>
      </c>
      <c r="B487" s="38">
        <v>46112</v>
      </c>
      <c r="C487" s="5">
        <f>COUNTIF(B$467:B487,B487)</f>
        <v>1</v>
      </c>
      <c r="D487" s="39">
        <v>750200</v>
      </c>
      <c r="E487" s="40">
        <v>2371</v>
      </c>
      <c r="F487" s="40">
        <v>22</v>
      </c>
      <c r="G487" s="40">
        <v>39</v>
      </c>
      <c r="H487" s="40">
        <v>12530</v>
      </c>
      <c r="I487" s="40">
        <v>1760</v>
      </c>
      <c r="J487" s="40">
        <v>17</v>
      </c>
    </row>
    <row r="488" spans="1:10">
      <c r="A488" s="1" t="s">
        <v>20</v>
      </c>
      <c r="B488" s="35">
        <v>46113</v>
      </c>
      <c r="C488" s="5">
        <f>COUNTIF(B$467:B488,B488)</f>
        <v>1</v>
      </c>
      <c r="D488" s="36">
        <v>111100</v>
      </c>
      <c r="E488" s="37">
        <v>1420</v>
      </c>
      <c r="F488" s="37">
        <v>3</v>
      </c>
      <c r="G488" s="37">
        <v>61</v>
      </c>
      <c r="H488" s="37">
        <v>49666</v>
      </c>
      <c r="I488" s="37">
        <v>1671</v>
      </c>
      <c r="J488" s="37">
        <v>2</v>
      </c>
    </row>
    <row r="489" spans="1:10">
      <c r="A489" s="1" t="s">
        <v>20</v>
      </c>
      <c r="B489" s="38">
        <v>46115</v>
      </c>
      <c r="C489" s="5">
        <f>COUNTIF(B$467:B489,B489)</f>
        <v>1</v>
      </c>
      <c r="D489" s="39">
        <v>436600</v>
      </c>
      <c r="E489" s="40">
        <v>2592</v>
      </c>
      <c r="F489" s="40">
        <v>22</v>
      </c>
      <c r="G489" s="40">
        <v>22</v>
      </c>
      <c r="H489" s="40">
        <v>11789</v>
      </c>
      <c r="I489" s="40">
        <v>1437</v>
      </c>
      <c r="J489" s="40">
        <v>18</v>
      </c>
    </row>
    <row r="490" spans="1:10">
      <c r="A490" s="1" t="s">
        <v>20</v>
      </c>
      <c r="B490" s="35">
        <v>46116</v>
      </c>
      <c r="C490" s="5">
        <f>COUNTIF(B$467:B490,B490)</f>
        <v>1</v>
      </c>
      <c r="D490" s="36">
        <v>1100000</v>
      </c>
      <c r="E490" s="37">
        <v>3117</v>
      </c>
      <c r="F490" s="37">
        <v>19</v>
      </c>
      <c r="G490" s="37">
        <v>43</v>
      </c>
      <c r="H490" s="37">
        <v>16573</v>
      </c>
      <c r="I490" s="37">
        <v>2023</v>
      </c>
      <c r="J490" s="37">
        <v>15</v>
      </c>
    </row>
    <row r="491" spans="1:10">
      <c r="A491" s="1" t="s">
        <v>20</v>
      </c>
      <c r="B491" s="38">
        <v>46117</v>
      </c>
      <c r="C491" s="5">
        <f>COUNTIF(B$467:B491,B491)</f>
        <v>1</v>
      </c>
      <c r="D491" s="39">
        <v>1200000</v>
      </c>
      <c r="E491" s="40">
        <v>4169</v>
      </c>
      <c r="F491" s="40">
        <v>25</v>
      </c>
      <c r="G491" s="40">
        <v>86</v>
      </c>
      <c r="H491" s="40">
        <v>17905</v>
      </c>
      <c r="I491" s="40">
        <v>2784</v>
      </c>
      <c r="J491" s="40">
        <v>19</v>
      </c>
    </row>
    <row r="492" spans="1:10">
      <c r="A492" s="1" t="s">
        <v>20</v>
      </c>
      <c r="B492" s="35">
        <v>46118</v>
      </c>
      <c r="C492" s="5">
        <f>COUNTIF(B$467:B492,B492)</f>
        <v>1</v>
      </c>
      <c r="D492" s="36">
        <v>358000</v>
      </c>
      <c r="E492" s="37">
        <v>2387</v>
      </c>
      <c r="F492" s="37">
        <v>19</v>
      </c>
      <c r="G492" s="37">
        <v>46</v>
      </c>
      <c r="H492" s="37">
        <v>14455</v>
      </c>
      <c r="I492" s="37">
        <v>2233</v>
      </c>
      <c r="J492" s="37">
        <v>15</v>
      </c>
    </row>
    <row r="493" spans="1:10">
      <c r="A493" s="1" t="s">
        <v>20</v>
      </c>
      <c r="B493" s="38">
        <v>46119</v>
      </c>
      <c r="C493" s="5">
        <f>COUNTIF(B$467:B493,B493)</f>
        <v>1</v>
      </c>
      <c r="D493" s="39">
        <v>653900</v>
      </c>
      <c r="E493" s="40">
        <v>3224</v>
      </c>
      <c r="F493" s="40">
        <v>21</v>
      </c>
      <c r="G493" s="40">
        <v>57</v>
      </c>
      <c r="H493" s="40">
        <v>16337</v>
      </c>
      <c r="I493" s="40">
        <v>2306</v>
      </c>
      <c r="J493" s="40">
        <v>16</v>
      </c>
    </row>
    <row r="494" spans="1:10">
      <c r="A494" s="1" t="s">
        <v>20</v>
      </c>
      <c r="B494" s="35">
        <v>46120</v>
      </c>
      <c r="C494" s="5">
        <f>COUNTIF(B$467:B494,B494)</f>
        <v>1</v>
      </c>
      <c r="D494" s="36">
        <v>1000000</v>
      </c>
      <c r="E494" s="37">
        <v>2068</v>
      </c>
      <c r="F494" s="37">
        <v>20</v>
      </c>
      <c r="G494" s="37">
        <v>38</v>
      </c>
      <c r="H494" s="37">
        <v>14415</v>
      </c>
      <c r="I494" s="37">
        <v>2090</v>
      </c>
      <c r="J494" s="37">
        <v>16</v>
      </c>
    </row>
    <row r="495" spans="1:10">
      <c r="A495" s="1" t="s">
        <v>20</v>
      </c>
      <c r="B495" s="38">
        <v>46122</v>
      </c>
      <c r="C495" s="5">
        <f>COUNTIF(B$467:B495,B495)</f>
        <v>1</v>
      </c>
      <c r="D495" s="39">
        <v>525100</v>
      </c>
      <c r="E495" s="40">
        <v>2186</v>
      </c>
      <c r="F495" s="40">
        <v>21</v>
      </c>
      <c r="G495" s="40">
        <v>45</v>
      </c>
      <c r="H495" s="40">
        <v>13349</v>
      </c>
      <c r="I495" s="40">
        <v>1955</v>
      </c>
      <c r="J495" s="40">
        <v>17</v>
      </c>
    </row>
    <row r="496" spans="1:10">
      <c r="A496" s="1" t="s">
        <v>20</v>
      </c>
      <c r="B496" s="35">
        <v>46123</v>
      </c>
      <c r="C496" s="5">
        <f>COUNTIF(B$467:B496,B496)</f>
        <v>1</v>
      </c>
      <c r="D496" s="36">
        <v>1200000</v>
      </c>
      <c r="E496" s="37">
        <v>2849</v>
      </c>
      <c r="F496" s="37">
        <v>25</v>
      </c>
      <c r="G496" s="37">
        <v>121</v>
      </c>
      <c r="H496" s="37">
        <v>21366</v>
      </c>
      <c r="I496" s="37">
        <v>2333</v>
      </c>
      <c r="J496" s="37">
        <v>15</v>
      </c>
    </row>
    <row r="497" spans="1:10">
      <c r="A497" s="1" t="s">
        <v>20</v>
      </c>
      <c r="B497" s="38">
        <v>46124</v>
      </c>
      <c r="C497" s="5">
        <f>COUNTIF(B$467:B497,B497)</f>
        <v>1</v>
      </c>
      <c r="D497" s="39">
        <v>1300000</v>
      </c>
      <c r="E497" s="40">
        <v>3098</v>
      </c>
      <c r="F497" s="40">
        <v>27</v>
      </c>
      <c r="G497" s="40">
        <v>71</v>
      </c>
      <c r="H497" s="40">
        <v>18622</v>
      </c>
      <c r="I497" s="40">
        <v>2681</v>
      </c>
      <c r="J497" s="40">
        <v>17</v>
      </c>
    </row>
    <row r="498" spans="1:10">
      <c r="A498" s="1" t="s">
        <v>20</v>
      </c>
      <c r="B498" s="35">
        <v>46125</v>
      </c>
      <c r="C498" s="5">
        <f>COUNTIF(B$467:B498,B498)</f>
        <v>1</v>
      </c>
      <c r="D498" s="36">
        <v>1100000</v>
      </c>
      <c r="E498" s="37">
        <v>2030</v>
      </c>
      <c r="F498" s="37">
        <v>21</v>
      </c>
      <c r="G498" s="37">
        <v>54</v>
      </c>
      <c r="H498" s="37">
        <v>16027</v>
      </c>
      <c r="I498" s="37">
        <v>1954</v>
      </c>
      <c r="J498" s="37">
        <v>13</v>
      </c>
    </row>
    <row r="499" spans="1:10">
      <c r="A499" s="1" t="s">
        <v>20</v>
      </c>
      <c r="B499" s="38">
        <v>46126</v>
      </c>
      <c r="C499" s="5">
        <f>COUNTIF(B$467:B499,B499)</f>
        <v>1</v>
      </c>
      <c r="D499" s="39">
        <v>713500</v>
      </c>
      <c r="E499" s="40">
        <v>2279</v>
      </c>
      <c r="F499" s="40">
        <v>22</v>
      </c>
      <c r="G499" s="40">
        <v>51</v>
      </c>
      <c r="H499" s="40">
        <v>14881</v>
      </c>
      <c r="I499" s="40">
        <v>1987</v>
      </c>
      <c r="J499" s="40">
        <v>14</v>
      </c>
    </row>
    <row r="500" spans="1:10">
      <c r="A500" s="1" t="s">
        <v>20</v>
      </c>
      <c r="B500" s="35">
        <v>46127</v>
      </c>
      <c r="C500" s="5">
        <f>COUNTIF(B$467:B500,B500)</f>
        <v>1</v>
      </c>
      <c r="D500" s="36">
        <v>395800</v>
      </c>
      <c r="E500" s="37">
        <v>1743</v>
      </c>
      <c r="F500" s="37">
        <v>19</v>
      </c>
      <c r="G500" s="37">
        <v>20</v>
      </c>
      <c r="H500" s="37">
        <v>13088</v>
      </c>
      <c r="I500" s="37">
        <v>1864</v>
      </c>
      <c r="J500" s="37">
        <v>15</v>
      </c>
    </row>
    <row r="501" spans="1:10">
      <c r="A501" s="1" t="s">
        <v>20</v>
      </c>
      <c r="B501" s="38">
        <v>46129</v>
      </c>
      <c r="C501" s="5">
        <f>COUNTIF(B$467:B501,B501)</f>
        <v>1</v>
      </c>
      <c r="D501" s="39">
        <v>509700</v>
      </c>
      <c r="E501" s="40">
        <v>2398</v>
      </c>
      <c r="F501" s="40">
        <v>18</v>
      </c>
      <c r="G501" s="40">
        <v>15</v>
      </c>
      <c r="H501" s="40">
        <v>11285</v>
      </c>
      <c r="I501" s="40">
        <v>1590</v>
      </c>
      <c r="J501" s="40">
        <v>15</v>
      </c>
    </row>
    <row r="502" ht="13.75" spans="1:10">
      <c r="A502" s="1" t="s">
        <v>20</v>
      </c>
      <c r="B502" s="35">
        <v>46130</v>
      </c>
      <c r="C502" s="5">
        <f>COUNTIF(B$467:B502,B502)</f>
        <v>1</v>
      </c>
      <c r="D502" s="36">
        <v>1100000</v>
      </c>
      <c r="E502" s="37">
        <v>1614</v>
      </c>
      <c r="F502" s="37">
        <v>19</v>
      </c>
      <c r="G502" s="37">
        <v>19</v>
      </c>
      <c r="H502" s="37">
        <v>11496</v>
      </c>
      <c r="I502" s="37">
        <v>1938</v>
      </c>
      <c r="J502" s="37">
        <v>16</v>
      </c>
    </row>
    <row r="503" spans="1:10">
      <c r="A503" s="1" t="s">
        <v>21</v>
      </c>
      <c r="B503" s="32">
        <v>46101</v>
      </c>
      <c r="C503" s="5">
        <f>COUNTIF(B$503:B503,B503)</f>
        <v>1</v>
      </c>
      <c r="D503" s="33">
        <v>101500</v>
      </c>
      <c r="E503" s="34">
        <v>1161</v>
      </c>
      <c r="F503" s="34">
        <v>33</v>
      </c>
      <c r="G503" s="34">
        <v>387</v>
      </c>
      <c r="H503" s="34">
        <v>3436</v>
      </c>
      <c r="I503" s="34">
        <v>393</v>
      </c>
      <c r="J503" s="34">
        <v>12</v>
      </c>
    </row>
    <row r="504" spans="1:10">
      <c r="A504" s="1" t="s">
        <v>21</v>
      </c>
      <c r="B504" s="35">
        <v>46102</v>
      </c>
      <c r="C504" s="5">
        <f>COUNTIF(B$503:B504,B504)</f>
        <v>1</v>
      </c>
      <c r="D504" s="36">
        <v>348600</v>
      </c>
      <c r="E504" s="37">
        <v>3643</v>
      </c>
      <c r="F504" s="37">
        <v>33</v>
      </c>
      <c r="G504" s="37">
        <v>558</v>
      </c>
      <c r="H504" s="37">
        <v>14911</v>
      </c>
      <c r="I504" s="37">
        <v>1694</v>
      </c>
      <c r="J504" s="37">
        <v>20</v>
      </c>
    </row>
    <row r="505" spans="1:10">
      <c r="A505" s="1" t="s">
        <v>21</v>
      </c>
      <c r="B505" s="38">
        <v>46103</v>
      </c>
      <c r="C505" s="5">
        <f>COUNTIF(B$503:B505,B505)</f>
        <v>1</v>
      </c>
      <c r="D505" s="39">
        <v>293400</v>
      </c>
      <c r="E505" s="40">
        <v>3656</v>
      </c>
      <c r="F505" s="40">
        <v>35</v>
      </c>
      <c r="G505" s="40">
        <v>303</v>
      </c>
      <c r="H505" s="40">
        <v>11302</v>
      </c>
      <c r="I505" s="40">
        <v>1811</v>
      </c>
      <c r="J505" s="40">
        <v>24</v>
      </c>
    </row>
    <row r="506" spans="1:10">
      <c r="A506" s="1" t="s">
        <v>21</v>
      </c>
      <c r="B506" s="35">
        <v>46104</v>
      </c>
      <c r="C506" s="5">
        <f>COUNTIF(B$503:B506,B506)</f>
        <v>1</v>
      </c>
      <c r="D506" s="36">
        <v>767100</v>
      </c>
      <c r="E506" s="37">
        <v>3029</v>
      </c>
      <c r="F506" s="37">
        <v>32</v>
      </c>
      <c r="G506" s="37">
        <v>291</v>
      </c>
      <c r="H506" s="37">
        <v>12498</v>
      </c>
      <c r="I506" s="37">
        <v>1935</v>
      </c>
      <c r="J506" s="37">
        <v>19</v>
      </c>
    </row>
    <row r="507" spans="1:10">
      <c r="A507" s="1" t="s">
        <v>21</v>
      </c>
      <c r="B507" s="38">
        <v>46105</v>
      </c>
      <c r="C507" s="5">
        <f>COUNTIF(B$503:B507,B507)</f>
        <v>1</v>
      </c>
      <c r="D507" s="39">
        <v>380400</v>
      </c>
      <c r="E507" s="40">
        <v>4008</v>
      </c>
      <c r="F507" s="40">
        <v>30</v>
      </c>
      <c r="G507" s="40">
        <v>284</v>
      </c>
      <c r="H507" s="40">
        <v>14683</v>
      </c>
      <c r="I507" s="40">
        <v>2230</v>
      </c>
      <c r="J507" s="40">
        <v>19</v>
      </c>
    </row>
    <row r="508" spans="1:10">
      <c r="A508" s="1" t="s">
        <v>21</v>
      </c>
      <c r="B508" s="35">
        <v>46106</v>
      </c>
      <c r="C508" s="5">
        <f>COUNTIF(B$503:B508,B508)</f>
        <v>1</v>
      </c>
      <c r="D508" s="36">
        <v>325300</v>
      </c>
      <c r="E508" s="37">
        <v>3337</v>
      </c>
      <c r="F508" s="37">
        <v>31</v>
      </c>
      <c r="G508" s="37">
        <v>206</v>
      </c>
      <c r="H508" s="37">
        <v>14382</v>
      </c>
      <c r="I508" s="37">
        <v>2286</v>
      </c>
      <c r="J508" s="37">
        <v>22</v>
      </c>
    </row>
    <row r="509" spans="1:10">
      <c r="A509" s="1" t="s">
        <v>21</v>
      </c>
      <c r="B509" s="38">
        <v>46107</v>
      </c>
      <c r="C509" s="5">
        <f>COUNTIF(B$503:B509,B509)</f>
        <v>1</v>
      </c>
      <c r="D509" s="39">
        <v>247900</v>
      </c>
      <c r="E509" s="40">
        <v>3005</v>
      </c>
      <c r="F509" s="40">
        <v>26</v>
      </c>
      <c r="G509" s="40">
        <v>119</v>
      </c>
      <c r="H509" s="40">
        <v>13469</v>
      </c>
      <c r="I509" s="40">
        <v>1934</v>
      </c>
      <c r="J509" s="40">
        <v>17</v>
      </c>
    </row>
    <row r="510" spans="1:10">
      <c r="A510" s="1" t="s">
        <v>21</v>
      </c>
      <c r="B510" s="35">
        <v>46108</v>
      </c>
      <c r="C510" s="5">
        <f>COUNTIF(B$503:B510,B510)</f>
        <v>1</v>
      </c>
      <c r="D510" s="36">
        <v>246300</v>
      </c>
      <c r="E510" s="37">
        <v>3604</v>
      </c>
      <c r="F510" s="37">
        <v>29</v>
      </c>
      <c r="G510" s="37">
        <v>88</v>
      </c>
      <c r="H510" s="37">
        <v>12799</v>
      </c>
      <c r="I510" s="37">
        <v>2157</v>
      </c>
      <c r="J510" s="37">
        <v>20</v>
      </c>
    </row>
    <row r="511" spans="1:10">
      <c r="A511" s="1" t="s">
        <v>21</v>
      </c>
      <c r="B511" s="38">
        <v>46110</v>
      </c>
      <c r="C511" s="5">
        <f>COUNTIF(B$503:B511,B511)</f>
        <v>1</v>
      </c>
      <c r="D511" s="39">
        <v>338400</v>
      </c>
      <c r="E511" s="40">
        <v>3394</v>
      </c>
      <c r="F511" s="40">
        <v>28</v>
      </c>
      <c r="G511" s="40">
        <v>104</v>
      </c>
      <c r="H511" s="40">
        <v>14150</v>
      </c>
      <c r="I511" s="40">
        <v>2033</v>
      </c>
      <c r="J511" s="40">
        <v>20</v>
      </c>
    </row>
    <row r="512" spans="1:10">
      <c r="A512" s="1" t="s">
        <v>21</v>
      </c>
      <c r="B512" s="35">
        <v>46112</v>
      </c>
      <c r="C512" s="5">
        <f>COUNTIF(B$503:B512,B512)</f>
        <v>1</v>
      </c>
      <c r="D512" s="36">
        <v>206900</v>
      </c>
      <c r="E512" s="37">
        <v>2381</v>
      </c>
      <c r="F512" s="37">
        <v>24</v>
      </c>
      <c r="G512" s="37">
        <v>87</v>
      </c>
      <c r="H512" s="37">
        <v>11868</v>
      </c>
      <c r="I512" s="37">
        <v>1545</v>
      </c>
      <c r="J512" s="37">
        <v>15</v>
      </c>
    </row>
    <row r="513" spans="1:10">
      <c r="A513" s="1" t="s">
        <v>21</v>
      </c>
      <c r="B513" s="38">
        <v>46113</v>
      </c>
      <c r="C513" s="5">
        <f>COUNTIF(B$503:B513,B513)</f>
        <v>1</v>
      </c>
      <c r="D513" s="39">
        <v>203400</v>
      </c>
      <c r="E513" s="40">
        <v>1579</v>
      </c>
      <c r="F513" s="40">
        <v>20</v>
      </c>
      <c r="G513" s="40">
        <v>54</v>
      </c>
      <c r="H513" s="40">
        <v>9930</v>
      </c>
      <c r="I513" s="40">
        <v>1457</v>
      </c>
      <c r="J513" s="40">
        <v>12</v>
      </c>
    </row>
    <row r="514" spans="1:10">
      <c r="A514" s="1" t="s">
        <v>21</v>
      </c>
      <c r="B514" s="35">
        <v>46114</v>
      </c>
      <c r="C514" s="5">
        <f>COUNTIF(B$503:B514,B514)</f>
        <v>1</v>
      </c>
      <c r="D514" s="36">
        <v>163000</v>
      </c>
      <c r="E514" s="37">
        <v>2686</v>
      </c>
      <c r="F514" s="37">
        <v>22</v>
      </c>
      <c r="G514" s="37">
        <v>32</v>
      </c>
      <c r="H514" s="37">
        <v>8964</v>
      </c>
      <c r="I514" s="37">
        <v>1086</v>
      </c>
      <c r="J514" s="37">
        <v>16</v>
      </c>
    </row>
    <row r="515" spans="1:10">
      <c r="A515" s="1" t="s">
        <v>21</v>
      </c>
      <c r="B515" s="38">
        <v>46116</v>
      </c>
      <c r="C515" s="5">
        <f>COUNTIF(B$503:B515,B515)</f>
        <v>1</v>
      </c>
      <c r="D515" s="39">
        <v>193900</v>
      </c>
      <c r="E515" s="40">
        <v>1547</v>
      </c>
      <c r="F515" s="40">
        <v>21</v>
      </c>
      <c r="G515" s="40">
        <v>39</v>
      </c>
      <c r="H515" s="40">
        <v>8533</v>
      </c>
      <c r="I515" s="40">
        <v>1041</v>
      </c>
      <c r="J515" s="40">
        <v>15</v>
      </c>
    </row>
    <row r="516" spans="1:10">
      <c r="A516" s="1" t="s">
        <v>21</v>
      </c>
      <c r="B516" s="35">
        <v>46117</v>
      </c>
      <c r="C516" s="5">
        <f>COUNTIF(B$503:B516,B516)</f>
        <v>1</v>
      </c>
      <c r="D516" s="36">
        <v>225000</v>
      </c>
      <c r="E516" s="37">
        <v>1583</v>
      </c>
      <c r="F516" s="37">
        <v>23</v>
      </c>
      <c r="G516" s="37">
        <v>28</v>
      </c>
      <c r="H516" s="37">
        <v>8090</v>
      </c>
      <c r="I516" s="37">
        <v>1201</v>
      </c>
      <c r="J516" s="37">
        <v>18</v>
      </c>
    </row>
    <row r="517" spans="1:10">
      <c r="A517" s="1" t="s">
        <v>21</v>
      </c>
      <c r="B517" s="38">
        <v>46119</v>
      </c>
      <c r="C517" s="5">
        <f>COUNTIF(B$503:B517,B517)</f>
        <v>1</v>
      </c>
      <c r="D517" s="39">
        <v>553800</v>
      </c>
      <c r="E517" s="40">
        <v>2262</v>
      </c>
      <c r="F517" s="40">
        <v>22</v>
      </c>
      <c r="G517" s="40">
        <v>25</v>
      </c>
      <c r="H517" s="40">
        <v>7693</v>
      </c>
      <c r="I517" s="40">
        <v>969</v>
      </c>
      <c r="J517" s="40">
        <v>17</v>
      </c>
    </row>
    <row r="518" spans="1:10">
      <c r="A518" s="1" t="s">
        <v>21</v>
      </c>
      <c r="B518" s="35">
        <v>46120</v>
      </c>
      <c r="C518" s="5">
        <f>COUNTIF(B$503:B518,B518)</f>
        <v>1</v>
      </c>
      <c r="D518" s="36">
        <v>211500</v>
      </c>
      <c r="E518" s="37">
        <v>1809</v>
      </c>
      <c r="F518" s="37">
        <v>21</v>
      </c>
      <c r="G518" s="37">
        <v>31</v>
      </c>
      <c r="H518" s="37">
        <v>7457</v>
      </c>
      <c r="I518" s="37">
        <v>1021</v>
      </c>
      <c r="J518" s="37">
        <v>16</v>
      </c>
    </row>
    <row r="519" spans="1:10">
      <c r="A519" s="1" t="s">
        <v>21</v>
      </c>
      <c r="B519" s="38">
        <v>46121</v>
      </c>
      <c r="C519" s="5">
        <f>COUNTIF(B$503:B519,B519)</f>
        <v>1</v>
      </c>
      <c r="D519" s="39">
        <v>217600</v>
      </c>
      <c r="E519" s="40">
        <v>1712</v>
      </c>
      <c r="F519" s="40">
        <v>21</v>
      </c>
      <c r="G519" s="40">
        <v>30</v>
      </c>
      <c r="H519" s="40">
        <v>7258</v>
      </c>
      <c r="I519" s="40">
        <v>960</v>
      </c>
      <c r="J519" s="40">
        <v>16</v>
      </c>
    </row>
    <row r="520" spans="1:10">
      <c r="A520" s="1" t="s">
        <v>21</v>
      </c>
      <c r="B520" s="35">
        <v>46122</v>
      </c>
      <c r="C520" s="5">
        <f>COUNTIF(B$503:B520,B520)</f>
        <v>1</v>
      </c>
      <c r="D520" s="36">
        <v>1100000</v>
      </c>
      <c r="E520" s="37">
        <v>3365</v>
      </c>
      <c r="F520" s="37">
        <v>24</v>
      </c>
      <c r="G520" s="37">
        <v>67</v>
      </c>
      <c r="H520" s="37">
        <v>11480</v>
      </c>
      <c r="I520" s="37">
        <v>1453</v>
      </c>
      <c r="J520" s="37">
        <v>16</v>
      </c>
    </row>
    <row r="521" spans="1:10">
      <c r="A521" s="1" t="s">
        <v>21</v>
      </c>
      <c r="B521" s="38">
        <v>46123</v>
      </c>
      <c r="C521" s="5">
        <f>COUNTIF(B$503:B521,B521)</f>
        <v>1</v>
      </c>
      <c r="D521" s="39">
        <v>263400</v>
      </c>
      <c r="E521" s="40">
        <v>4362</v>
      </c>
      <c r="F521" s="40">
        <v>30</v>
      </c>
      <c r="G521" s="40">
        <v>43</v>
      </c>
      <c r="H521" s="40">
        <v>10213</v>
      </c>
      <c r="I521" s="40">
        <v>1502</v>
      </c>
      <c r="J521" s="40">
        <v>22</v>
      </c>
    </row>
    <row r="522" spans="1:10">
      <c r="A522" s="1" t="s">
        <v>21</v>
      </c>
      <c r="B522" s="35">
        <v>46124</v>
      </c>
      <c r="C522" s="5">
        <f>COUNTIF(B$503:B522,B522)</f>
        <v>1</v>
      </c>
      <c r="D522" s="36">
        <v>266800</v>
      </c>
      <c r="E522" s="37">
        <v>5385</v>
      </c>
      <c r="F522" s="37">
        <v>32</v>
      </c>
      <c r="G522" s="37">
        <v>63</v>
      </c>
      <c r="H522" s="37">
        <v>12191</v>
      </c>
      <c r="I522" s="37">
        <v>1930</v>
      </c>
      <c r="J522" s="37">
        <v>22</v>
      </c>
    </row>
    <row r="523" spans="1:10">
      <c r="A523" s="1" t="s">
        <v>21</v>
      </c>
      <c r="B523" s="38">
        <v>46126</v>
      </c>
      <c r="C523" s="5">
        <f>COUNTIF(B$503:B523,B523)</f>
        <v>1</v>
      </c>
      <c r="D523" s="39">
        <v>233800</v>
      </c>
      <c r="E523" s="40">
        <v>3406</v>
      </c>
      <c r="F523" s="40">
        <v>29</v>
      </c>
      <c r="G523" s="40">
        <v>43</v>
      </c>
      <c r="H523" s="40">
        <v>10010</v>
      </c>
      <c r="I523" s="40">
        <v>1611</v>
      </c>
      <c r="J523" s="40">
        <v>22</v>
      </c>
    </row>
    <row r="524" spans="1:10">
      <c r="A524" s="1" t="s">
        <v>21</v>
      </c>
      <c r="B524" s="35">
        <v>46127</v>
      </c>
      <c r="C524" s="5">
        <f>COUNTIF(B$503:B524,B524)</f>
        <v>1</v>
      </c>
      <c r="D524" s="36">
        <v>349900</v>
      </c>
      <c r="E524" s="37">
        <v>4774</v>
      </c>
      <c r="F524" s="37">
        <v>33</v>
      </c>
      <c r="G524" s="37">
        <v>30</v>
      </c>
      <c r="H524" s="37">
        <v>12020</v>
      </c>
      <c r="I524" s="37">
        <v>1827</v>
      </c>
      <c r="J524" s="37">
        <v>22</v>
      </c>
    </row>
    <row r="525" spans="1:10">
      <c r="A525" s="1" t="s">
        <v>21</v>
      </c>
      <c r="B525" s="38">
        <v>46128</v>
      </c>
      <c r="C525" s="5">
        <f>COUNTIF(B$503:B525,B525)</f>
        <v>1</v>
      </c>
      <c r="D525" s="39">
        <v>388500</v>
      </c>
      <c r="E525" s="40">
        <v>5625</v>
      </c>
      <c r="F525" s="40">
        <v>36</v>
      </c>
      <c r="G525" s="40">
        <v>40</v>
      </c>
      <c r="H525" s="40">
        <v>13939</v>
      </c>
      <c r="I525" s="40">
        <v>2171</v>
      </c>
      <c r="J525" s="40">
        <v>24</v>
      </c>
    </row>
    <row r="526" spans="1:10">
      <c r="A526" s="1" t="s">
        <v>21</v>
      </c>
      <c r="B526" s="35">
        <v>46129</v>
      </c>
      <c r="C526" s="5">
        <f>COUNTIF(B$503:B526,B526)</f>
        <v>1</v>
      </c>
      <c r="D526" s="36">
        <v>304800</v>
      </c>
      <c r="E526" s="37">
        <v>5515</v>
      </c>
      <c r="F526" s="37">
        <v>29</v>
      </c>
      <c r="G526" s="37">
        <v>58</v>
      </c>
      <c r="H526" s="37">
        <v>12938</v>
      </c>
      <c r="I526" s="37">
        <v>1724</v>
      </c>
      <c r="J526" s="37">
        <v>19</v>
      </c>
    </row>
    <row r="527" spans="1:10">
      <c r="A527" s="1" t="s">
        <v>21</v>
      </c>
      <c r="B527" s="38">
        <v>46129</v>
      </c>
      <c r="C527" s="5">
        <f>COUNTIF(B$503:B527,B527)</f>
        <v>2</v>
      </c>
      <c r="D527" s="39">
        <v>306000</v>
      </c>
      <c r="E527" s="40">
        <v>1714</v>
      </c>
      <c r="F527" s="40">
        <v>18</v>
      </c>
      <c r="G527" s="40">
        <v>51</v>
      </c>
      <c r="H527" s="40">
        <v>10096</v>
      </c>
      <c r="I527" s="40">
        <v>961</v>
      </c>
      <c r="J527" s="40">
        <v>12</v>
      </c>
    </row>
    <row r="528" ht="13.75" spans="1:10">
      <c r="A528" s="1" t="s">
        <v>21</v>
      </c>
      <c r="B528" s="35">
        <v>46130</v>
      </c>
      <c r="C528" s="5">
        <f>COUNTIF(B$503:B528,B528)</f>
        <v>1</v>
      </c>
      <c r="D528" s="36">
        <v>244700</v>
      </c>
      <c r="E528" s="37">
        <v>2164</v>
      </c>
      <c r="F528" s="37">
        <v>22</v>
      </c>
      <c r="G528" s="37">
        <v>13</v>
      </c>
      <c r="H528" s="37">
        <v>11267</v>
      </c>
      <c r="I528" s="37">
        <v>1353</v>
      </c>
      <c r="J528" s="37">
        <v>16</v>
      </c>
    </row>
    <row r="529" spans="1:10">
      <c r="A529" s="1" t="s">
        <v>22</v>
      </c>
      <c r="B529" s="32">
        <v>46114</v>
      </c>
      <c r="C529" s="5">
        <f>COUNTIF(B$529:B529,B529)</f>
        <v>1</v>
      </c>
      <c r="D529" s="33">
        <v>226800</v>
      </c>
      <c r="E529" s="34">
        <v>3397</v>
      </c>
      <c r="F529" s="34">
        <v>39</v>
      </c>
      <c r="G529" s="34">
        <v>296</v>
      </c>
      <c r="H529" s="34">
        <v>7407</v>
      </c>
      <c r="I529" s="34">
        <v>855</v>
      </c>
      <c r="J529" s="34">
        <v>21</v>
      </c>
    </row>
    <row r="530" spans="1:10">
      <c r="A530" s="1" t="s">
        <v>22</v>
      </c>
      <c r="B530" s="35">
        <v>46115</v>
      </c>
      <c r="C530" s="5">
        <f>COUNTIF(B$529:B530,B530)</f>
        <v>1</v>
      </c>
      <c r="D530" s="36">
        <v>83000</v>
      </c>
      <c r="E530" s="37">
        <v>1664</v>
      </c>
      <c r="F530" s="37">
        <v>16</v>
      </c>
      <c r="G530" s="37">
        <v>149</v>
      </c>
      <c r="H530" s="37">
        <v>8093</v>
      </c>
      <c r="I530" s="37">
        <v>666</v>
      </c>
      <c r="J530" s="37">
        <v>9</v>
      </c>
    </row>
    <row r="531" spans="1:10">
      <c r="A531" s="1" t="s">
        <v>22</v>
      </c>
      <c r="B531" s="38">
        <v>46116</v>
      </c>
      <c r="C531" s="5">
        <f>COUNTIF(B$529:B531,B531)</f>
        <v>1</v>
      </c>
      <c r="D531" s="39">
        <v>80400</v>
      </c>
      <c r="E531" s="40">
        <v>806</v>
      </c>
      <c r="F531" s="40">
        <v>9</v>
      </c>
      <c r="G531" s="40">
        <v>46</v>
      </c>
      <c r="H531" s="40">
        <v>5553</v>
      </c>
      <c r="I531" s="40">
        <v>507</v>
      </c>
      <c r="J531" s="40">
        <v>6</v>
      </c>
    </row>
    <row r="532" spans="1:10">
      <c r="A532" s="1" t="s">
        <v>22</v>
      </c>
      <c r="B532" s="35">
        <v>46117</v>
      </c>
      <c r="C532" s="5">
        <f>COUNTIF(B$529:B532,B532)</f>
        <v>1</v>
      </c>
      <c r="D532" s="36">
        <v>86200</v>
      </c>
      <c r="E532" s="37">
        <v>693</v>
      </c>
      <c r="F532" s="37">
        <v>7</v>
      </c>
      <c r="G532" s="37">
        <v>38</v>
      </c>
      <c r="H532" s="37">
        <v>4625</v>
      </c>
      <c r="I532" s="37">
        <v>476</v>
      </c>
      <c r="J532" s="37">
        <v>4</v>
      </c>
    </row>
    <row r="533" spans="1:10">
      <c r="A533" s="1" t="s">
        <v>22</v>
      </c>
      <c r="B533" s="38">
        <v>46118</v>
      </c>
      <c r="C533" s="5">
        <f>COUNTIF(B$529:B533,B533)</f>
        <v>1</v>
      </c>
      <c r="D533" s="39">
        <v>76900</v>
      </c>
      <c r="E533" s="40">
        <v>822</v>
      </c>
      <c r="F533" s="40">
        <v>7</v>
      </c>
      <c r="G533" s="40">
        <v>46</v>
      </c>
      <c r="H533" s="40">
        <v>4976</v>
      </c>
      <c r="I533" s="40">
        <v>498</v>
      </c>
      <c r="J533" s="40">
        <v>5</v>
      </c>
    </row>
    <row r="534" spans="1:10">
      <c r="A534" s="1" t="s">
        <v>22</v>
      </c>
      <c r="B534" s="35">
        <v>46120</v>
      </c>
      <c r="C534" s="5">
        <f>COUNTIF(B$529:B534,B534)</f>
        <v>1</v>
      </c>
      <c r="D534" s="36">
        <v>263100</v>
      </c>
      <c r="E534" s="37">
        <v>1011</v>
      </c>
      <c r="F534" s="37">
        <v>9</v>
      </c>
      <c r="G534" s="37">
        <v>32</v>
      </c>
      <c r="H534" s="37">
        <v>4995</v>
      </c>
      <c r="I534" s="37">
        <v>424</v>
      </c>
      <c r="J534" s="37">
        <v>6</v>
      </c>
    </row>
    <row r="535" spans="1:10">
      <c r="A535" s="1" t="s">
        <v>22</v>
      </c>
      <c r="B535" s="38">
        <v>46121</v>
      </c>
      <c r="C535" s="5">
        <f>COUNTIF(B$529:B535,B535)</f>
        <v>1</v>
      </c>
      <c r="D535" s="39">
        <v>146700</v>
      </c>
      <c r="E535" s="40">
        <v>1069</v>
      </c>
      <c r="F535" s="40">
        <v>13</v>
      </c>
      <c r="G535" s="40">
        <v>45</v>
      </c>
      <c r="H535" s="40">
        <v>5706</v>
      </c>
      <c r="I535" s="40">
        <v>384</v>
      </c>
      <c r="J535" s="40">
        <v>9</v>
      </c>
    </row>
    <row r="536" spans="1:10">
      <c r="A536" s="1" t="s">
        <v>22</v>
      </c>
      <c r="B536" s="35">
        <v>46122</v>
      </c>
      <c r="C536" s="5">
        <f>COUNTIF(B$529:B536,B536)</f>
        <v>1</v>
      </c>
      <c r="D536" s="36">
        <v>124900</v>
      </c>
      <c r="E536" s="37">
        <v>832</v>
      </c>
      <c r="F536" s="37">
        <v>11</v>
      </c>
      <c r="G536" s="37">
        <v>67</v>
      </c>
      <c r="H536" s="37">
        <v>5860</v>
      </c>
      <c r="I536" s="37">
        <v>592</v>
      </c>
      <c r="J536" s="37">
        <v>6</v>
      </c>
    </row>
    <row r="537" spans="1:10">
      <c r="A537" s="1" t="s">
        <v>22</v>
      </c>
      <c r="B537" s="38">
        <v>46123</v>
      </c>
      <c r="C537" s="5">
        <f>COUNTIF(B$529:B537,B537)</f>
        <v>1</v>
      </c>
      <c r="D537" s="39">
        <v>127200</v>
      </c>
      <c r="E537" s="40">
        <v>977</v>
      </c>
      <c r="F537" s="40">
        <v>9</v>
      </c>
      <c r="G537" s="40">
        <v>131</v>
      </c>
      <c r="H537" s="40">
        <v>7928</v>
      </c>
      <c r="I537" s="40">
        <v>560</v>
      </c>
      <c r="J537" s="40">
        <v>4</v>
      </c>
    </row>
    <row r="538" spans="1:10">
      <c r="A538" s="1" t="s">
        <v>22</v>
      </c>
      <c r="B538" s="35">
        <v>46124</v>
      </c>
      <c r="C538" s="5">
        <f>COUNTIF(B$529:B538,B538)</f>
        <v>1</v>
      </c>
      <c r="D538" s="36">
        <v>158500</v>
      </c>
      <c r="E538" s="37">
        <v>785</v>
      </c>
      <c r="F538" s="37">
        <v>9</v>
      </c>
      <c r="G538" s="37">
        <v>101</v>
      </c>
      <c r="H538" s="37">
        <v>6707</v>
      </c>
      <c r="I538" s="37">
        <v>505</v>
      </c>
      <c r="J538" s="37">
        <v>4</v>
      </c>
    </row>
    <row r="539" spans="1:10">
      <c r="A539" s="1" t="s">
        <v>22</v>
      </c>
      <c r="B539" s="38">
        <v>46125</v>
      </c>
      <c r="C539" s="5">
        <f>COUNTIF(B$529:B539,B539)</f>
        <v>1</v>
      </c>
      <c r="D539" s="39">
        <v>542000</v>
      </c>
      <c r="E539" s="40">
        <v>1046</v>
      </c>
      <c r="F539" s="40">
        <v>10</v>
      </c>
      <c r="G539" s="40">
        <v>118</v>
      </c>
      <c r="H539" s="40">
        <v>8624</v>
      </c>
      <c r="I539" s="40">
        <v>490</v>
      </c>
      <c r="J539" s="40">
        <v>4</v>
      </c>
    </row>
    <row r="540" spans="1:10">
      <c r="A540" s="1" t="s">
        <v>22</v>
      </c>
      <c r="B540" s="35">
        <v>46127</v>
      </c>
      <c r="C540" s="5">
        <f>COUNTIF(B$529:B540,B540)</f>
        <v>1</v>
      </c>
      <c r="D540" s="36">
        <v>120300</v>
      </c>
      <c r="E540" s="37">
        <v>711</v>
      </c>
      <c r="F540" s="37">
        <v>7</v>
      </c>
      <c r="G540" s="37">
        <v>23</v>
      </c>
      <c r="H540" s="37">
        <v>4710</v>
      </c>
      <c r="I540" s="37">
        <v>363</v>
      </c>
      <c r="J540" s="37">
        <v>5</v>
      </c>
    </row>
    <row r="541" spans="1:10">
      <c r="A541" s="1" t="s">
        <v>22</v>
      </c>
      <c r="B541" s="38">
        <v>46128</v>
      </c>
      <c r="C541" s="5">
        <f>COUNTIF(B$529:B541,B541)</f>
        <v>1</v>
      </c>
      <c r="D541" s="39">
        <v>150800</v>
      </c>
      <c r="E541" s="40">
        <v>1179</v>
      </c>
      <c r="F541" s="40">
        <v>17</v>
      </c>
      <c r="G541" s="40">
        <v>29</v>
      </c>
      <c r="H541" s="40">
        <v>5613</v>
      </c>
      <c r="I541" s="40">
        <v>515</v>
      </c>
      <c r="J541" s="40">
        <v>13</v>
      </c>
    </row>
    <row r="542" spans="1:10">
      <c r="A542" s="1" t="s">
        <v>22</v>
      </c>
      <c r="B542" s="35">
        <v>46129</v>
      </c>
      <c r="C542" s="5">
        <f>COUNTIF(B$529:B542,B542)</f>
        <v>1</v>
      </c>
      <c r="D542" s="36">
        <v>106100</v>
      </c>
      <c r="E542" s="37">
        <v>537</v>
      </c>
      <c r="F542" s="37">
        <v>8</v>
      </c>
      <c r="G542" s="37">
        <v>36</v>
      </c>
      <c r="H542" s="37">
        <v>4705</v>
      </c>
      <c r="I542" s="37">
        <v>577</v>
      </c>
      <c r="J542" s="37">
        <v>6</v>
      </c>
    </row>
    <row r="543" ht="13.75" spans="1:10">
      <c r="A543" s="1" t="s">
        <v>22</v>
      </c>
      <c r="B543" s="38">
        <v>46130</v>
      </c>
      <c r="C543" s="5">
        <f>COUNTIF(B$529:B543,B543)</f>
        <v>1</v>
      </c>
      <c r="D543" s="39">
        <v>74400</v>
      </c>
      <c r="E543" s="40">
        <v>389</v>
      </c>
      <c r="F543" s="40">
        <v>5</v>
      </c>
      <c r="G543" s="40">
        <v>11</v>
      </c>
      <c r="H543" s="40">
        <v>3542</v>
      </c>
      <c r="I543" s="40">
        <v>360</v>
      </c>
      <c r="J543" s="40">
        <v>4</v>
      </c>
    </row>
    <row r="544" spans="1:10">
      <c r="A544" s="1" t="s">
        <v>37</v>
      </c>
      <c r="B544" s="32">
        <v>46115</v>
      </c>
      <c r="C544" s="5">
        <f>COUNTIF(B$544:B544,B544)</f>
        <v>1</v>
      </c>
      <c r="D544" s="33">
        <v>180400</v>
      </c>
      <c r="E544" s="34">
        <v>1567</v>
      </c>
      <c r="F544" s="34">
        <v>18</v>
      </c>
      <c r="G544" s="34">
        <v>269</v>
      </c>
      <c r="H544" s="34">
        <v>8641</v>
      </c>
      <c r="I544" s="34">
        <v>651</v>
      </c>
      <c r="J544" s="34">
        <v>18</v>
      </c>
    </row>
    <row r="545" spans="1:10">
      <c r="A545" s="1" t="s">
        <v>37</v>
      </c>
      <c r="B545" s="35">
        <v>46116</v>
      </c>
      <c r="C545" s="5">
        <f>COUNTIF(B$544:B545,B545)</f>
        <v>1</v>
      </c>
      <c r="D545" s="36">
        <v>132700</v>
      </c>
      <c r="E545" s="37">
        <v>870</v>
      </c>
      <c r="F545" s="37">
        <v>8</v>
      </c>
      <c r="G545" s="37">
        <v>171</v>
      </c>
      <c r="H545" s="37">
        <v>8172</v>
      </c>
      <c r="I545" s="37">
        <v>841</v>
      </c>
      <c r="J545" s="37">
        <v>6</v>
      </c>
    </row>
    <row r="546" spans="1:10">
      <c r="A546" s="1" t="s">
        <v>37</v>
      </c>
      <c r="B546" s="38">
        <v>46117</v>
      </c>
      <c r="C546" s="5">
        <f>COUNTIF(B$544:B546,B546)</f>
        <v>1</v>
      </c>
      <c r="D546" s="39">
        <v>106900</v>
      </c>
      <c r="E546" s="40">
        <v>568</v>
      </c>
      <c r="F546" s="40">
        <v>4</v>
      </c>
      <c r="G546" s="40">
        <v>139</v>
      </c>
      <c r="H546" s="40">
        <v>7339</v>
      </c>
      <c r="I546" s="40">
        <v>715</v>
      </c>
      <c r="J546" s="40">
        <v>3</v>
      </c>
    </row>
    <row r="547" spans="1:10">
      <c r="A547" s="1" t="s">
        <v>37</v>
      </c>
      <c r="B547" s="35">
        <v>46118</v>
      </c>
      <c r="C547" s="5">
        <f>COUNTIF(B$544:B547,B547)</f>
        <v>1</v>
      </c>
      <c r="D547" s="36">
        <v>125600</v>
      </c>
      <c r="E547" s="37">
        <v>1486</v>
      </c>
      <c r="F547" s="37">
        <v>10</v>
      </c>
      <c r="G547" s="37">
        <v>69</v>
      </c>
      <c r="H547" s="37">
        <v>8128</v>
      </c>
      <c r="I547" s="37">
        <v>757</v>
      </c>
      <c r="J547" s="37">
        <v>7</v>
      </c>
    </row>
    <row r="548" spans="1:10">
      <c r="A548" s="1" t="s">
        <v>37</v>
      </c>
      <c r="B548" s="38">
        <v>46119</v>
      </c>
      <c r="C548" s="5">
        <f>COUNTIF(B$544:B548,B548)</f>
        <v>1</v>
      </c>
      <c r="D548" s="39">
        <v>122900</v>
      </c>
      <c r="E548" s="40">
        <v>1249</v>
      </c>
      <c r="F548" s="40">
        <v>9</v>
      </c>
      <c r="G548" s="40">
        <v>137</v>
      </c>
      <c r="H548" s="40">
        <v>9242</v>
      </c>
      <c r="I548" s="40">
        <v>778</v>
      </c>
      <c r="J548" s="40">
        <v>7</v>
      </c>
    </row>
    <row r="549" spans="1:10">
      <c r="A549" s="1" t="s">
        <v>37</v>
      </c>
      <c r="B549" s="35">
        <v>46121</v>
      </c>
      <c r="C549" s="5">
        <f>COUNTIF(B$544:B549,B549)</f>
        <v>1</v>
      </c>
      <c r="D549" s="36">
        <v>2100000</v>
      </c>
      <c r="E549" s="37">
        <v>5294</v>
      </c>
      <c r="F549" s="37">
        <v>27</v>
      </c>
      <c r="G549" s="37">
        <v>268</v>
      </c>
      <c r="H549" s="37">
        <v>12188</v>
      </c>
      <c r="I549" s="37">
        <v>1988</v>
      </c>
      <c r="J549" s="37">
        <v>21</v>
      </c>
    </row>
    <row r="550" spans="1:10">
      <c r="A550" s="1" t="s">
        <v>37</v>
      </c>
      <c r="B550" s="38">
        <v>46122</v>
      </c>
      <c r="C550" s="5">
        <f>COUNTIF(B$544:B550,B550)</f>
        <v>1</v>
      </c>
      <c r="D550" s="39">
        <v>223700</v>
      </c>
      <c r="E550" s="40">
        <v>2389</v>
      </c>
      <c r="F550" s="40">
        <v>22</v>
      </c>
      <c r="G550" s="40">
        <v>82</v>
      </c>
      <c r="H550" s="40">
        <v>10311</v>
      </c>
      <c r="I550" s="40">
        <v>1266</v>
      </c>
      <c r="J550" s="40">
        <v>18</v>
      </c>
    </row>
    <row r="551" spans="1:10">
      <c r="A551" s="1" t="s">
        <v>37</v>
      </c>
      <c r="B551" s="35">
        <v>46123</v>
      </c>
      <c r="C551" s="5">
        <f>COUNTIF(B$544:B551,B551)</f>
        <v>1</v>
      </c>
      <c r="D551" s="36">
        <v>177900</v>
      </c>
      <c r="E551" s="37">
        <v>1648</v>
      </c>
      <c r="F551" s="37">
        <v>12</v>
      </c>
      <c r="G551" s="37">
        <v>368</v>
      </c>
      <c r="H551" s="37">
        <v>15393</v>
      </c>
      <c r="I551" s="37">
        <v>1190</v>
      </c>
      <c r="J551" s="37">
        <v>6</v>
      </c>
    </row>
    <row r="552" spans="1:10">
      <c r="A552" s="1" t="s">
        <v>37</v>
      </c>
      <c r="B552" s="38">
        <v>46124</v>
      </c>
      <c r="C552" s="5">
        <f>COUNTIF(B$544:B552,B552)</f>
        <v>1</v>
      </c>
      <c r="D552" s="39">
        <v>160400</v>
      </c>
      <c r="E552" s="40">
        <v>1153</v>
      </c>
      <c r="F552" s="40">
        <v>10</v>
      </c>
      <c r="G552" s="40">
        <v>193</v>
      </c>
      <c r="H552" s="40">
        <v>13052</v>
      </c>
      <c r="I552" s="40">
        <v>1099</v>
      </c>
      <c r="J552" s="40">
        <v>6</v>
      </c>
    </row>
    <row r="553" spans="1:10">
      <c r="A553" s="1" t="s">
        <v>37</v>
      </c>
      <c r="B553" s="35">
        <v>46125</v>
      </c>
      <c r="C553" s="5">
        <f>COUNTIF(B$544:B553,B553)</f>
        <v>1</v>
      </c>
      <c r="D553" s="36">
        <v>162300</v>
      </c>
      <c r="E553" s="37">
        <v>1241</v>
      </c>
      <c r="F553" s="37">
        <v>10</v>
      </c>
      <c r="G553" s="37">
        <v>151</v>
      </c>
      <c r="H553" s="37">
        <v>11962</v>
      </c>
      <c r="I553" s="37">
        <v>1173</v>
      </c>
      <c r="J553" s="37">
        <v>5</v>
      </c>
    </row>
    <row r="554" spans="1:10">
      <c r="A554" s="1" t="s">
        <v>37</v>
      </c>
      <c r="B554" s="38">
        <v>46126</v>
      </c>
      <c r="C554" s="5">
        <f>COUNTIF(B$544:B554,B554)</f>
        <v>1</v>
      </c>
      <c r="D554" s="39">
        <v>117700</v>
      </c>
      <c r="E554" s="40">
        <v>806</v>
      </c>
      <c r="F554" s="40">
        <v>9</v>
      </c>
      <c r="G554" s="40">
        <v>85</v>
      </c>
      <c r="H554" s="40">
        <v>10210</v>
      </c>
      <c r="I554" s="40">
        <v>1036</v>
      </c>
      <c r="J554" s="40">
        <v>5</v>
      </c>
    </row>
    <row r="555" spans="1:10">
      <c r="A555" s="1" t="s">
        <v>37</v>
      </c>
      <c r="B555" s="35">
        <v>46127</v>
      </c>
      <c r="C555" s="5">
        <f>COUNTIF(B$544:B555,B555)</f>
        <v>1</v>
      </c>
      <c r="D555" s="36">
        <v>27800</v>
      </c>
      <c r="E555" s="37">
        <v>932</v>
      </c>
      <c r="F555" s="37">
        <v>1</v>
      </c>
      <c r="G555" s="37">
        <v>8</v>
      </c>
      <c r="H555" s="37">
        <v>4411</v>
      </c>
      <c r="I555" s="37">
        <v>706</v>
      </c>
      <c r="J555" s="37">
        <v>1</v>
      </c>
    </row>
    <row r="556" spans="1:10">
      <c r="A556" s="1" t="s">
        <v>37</v>
      </c>
      <c r="B556" s="38">
        <v>46128</v>
      </c>
      <c r="C556" s="5">
        <f>COUNTIF(B$544:B556,B556)</f>
        <v>1</v>
      </c>
      <c r="D556" s="39">
        <v>151700</v>
      </c>
      <c r="E556" s="40">
        <v>1473</v>
      </c>
      <c r="F556" s="40">
        <v>15</v>
      </c>
      <c r="G556" s="40">
        <v>27</v>
      </c>
      <c r="H556" s="40">
        <v>7598</v>
      </c>
      <c r="I556" s="40">
        <v>1030</v>
      </c>
      <c r="J556" s="40">
        <v>11</v>
      </c>
    </row>
    <row r="557" spans="1:10">
      <c r="A557" s="1" t="s">
        <v>37</v>
      </c>
      <c r="B557" s="35">
        <v>46129</v>
      </c>
      <c r="C557" s="5">
        <f>COUNTIF(B$544:B557,B557)</f>
        <v>1</v>
      </c>
      <c r="D557" s="36">
        <v>125200</v>
      </c>
      <c r="E557" s="37">
        <v>1015</v>
      </c>
      <c r="F557" s="37">
        <v>13</v>
      </c>
      <c r="G557" s="37">
        <v>51</v>
      </c>
      <c r="H557" s="37">
        <v>11142</v>
      </c>
      <c r="I557" s="37">
        <v>999</v>
      </c>
      <c r="J557" s="37">
        <v>9</v>
      </c>
    </row>
    <row r="558" spans="1:10">
      <c r="A558" s="1" t="s">
        <v>37</v>
      </c>
      <c r="B558" s="38">
        <v>46130</v>
      </c>
      <c r="C558" s="5">
        <f>COUNTIF(B$544:B558,B558)</f>
        <v>1</v>
      </c>
      <c r="D558" s="39">
        <v>69700</v>
      </c>
      <c r="E558" s="40">
        <v>543</v>
      </c>
      <c r="F558" s="40">
        <v>7</v>
      </c>
      <c r="G558" s="40">
        <v>17</v>
      </c>
      <c r="H558" s="40">
        <v>8097</v>
      </c>
      <c r="I558" s="40">
        <v>805</v>
      </c>
      <c r="J558" s="40">
        <v>5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分析</vt:lpstr>
      <vt:lpstr>直播数据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Patton</dc:creator>
  <cp:lastModifiedBy>高祯祥</cp:lastModifiedBy>
  <dcterms:created xsi:type="dcterms:W3CDTF">2026-04-19T13:37:44Z</dcterms:created>
  <dcterms:modified xsi:type="dcterms:W3CDTF">2026-04-19T14:19:25Z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BB2FD22EF8B648D68D6939EADF2EC5A5_11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